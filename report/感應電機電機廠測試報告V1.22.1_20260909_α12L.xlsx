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" yWindow="-10" windowWidth="19420" windowHeight="7540" tabRatio="647"/>
  </bookViews>
  <sheets>
    <sheet name="電機廠報告與驗收規範" sheetId="5" r:id="rId1"/>
    <sheet name="馬達溫升實驗表格" sheetId="9" r:id="rId2"/>
    <sheet name="新代驅動器參數" sheetId="2" r:id="rId3"/>
    <sheet name="馬達特性曲線" sheetId="10" r:id="rId4"/>
    <sheet name="自動審查" sheetId="12" r:id="rId5"/>
    <sheet name="相關表格" sheetId="7" state="hidden" r:id="rId6"/>
  </sheets>
  <calcPr calcId="144525"/>
</workbook>
</file>

<file path=xl/calcChain.xml><?xml version="1.0" encoding="utf-8"?>
<calcChain xmlns="http://schemas.openxmlformats.org/spreadsheetml/2006/main">
  <c r="W88" i="5" l="1"/>
  <c r="W89" i="5"/>
  <c r="W90" i="5"/>
  <c r="W91" i="5"/>
  <c r="W92" i="5"/>
  <c r="W93" i="5"/>
  <c r="W94" i="5"/>
  <c r="W95" i="5"/>
  <c r="W96" i="5"/>
  <c r="W97" i="5"/>
  <c r="W98" i="5"/>
  <c r="O20" i="9"/>
  <c r="P20" i="9" s="1"/>
  <c r="E23" i="2" l="1"/>
  <c r="W5" i="5"/>
  <c r="V5" i="5"/>
  <c r="E22" i="2" s="1"/>
  <c r="L5" i="5"/>
  <c r="J84" i="5"/>
  <c r="M84" i="5"/>
  <c r="O66" i="5"/>
  <c r="D54" i="5"/>
  <c r="V3" i="5"/>
  <c r="L84" i="5"/>
  <c r="K84" i="5" s="1"/>
  <c r="K57" i="5"/>
  <c r="L57" i="5" s="1"/>
  <c r="K56" i="5"/>
  <c r="L56" i="5" s="1"/>
  <c r="K45" i="5" l="1"/>
  <c r="J44" i="5"/>
  <c r="K44" i="5" l="1"/>
  <c r="M44" i="5" s="1"/>
  <c r="L44" i="5" s="1"/>
  <c r="R5" i="5"/>
  <c r="N57" i="5"/>
  <c r="M57" i="5" s="1"/>
  <c r="N56" i="5"/>
  <c r="M56" i="5" s="1"/>
  <c r="N58" i="5" l="1"/>
  <c r="J5" i="5" s="1"/>
  <c r="M58" i="5" l="1"/>
  <c r="F51" i="10"/>
  <c r="H51" i="10"/>
  <c r="X29" i="5" l="1"/>
  <c r="W29" i="5"/>
  <c r="V29" i="5"/>
  <c r="U29" i="5"/>
  <c r="S29" i="5"/>
  <c r="N29" i="5"/>
  <c r="O29" i="5"/>
  <c r="P29" i="5"/>
  <c r="Q29" i="5"/>
  <c r="R29" i="5"/>
  <c r="M29" i="5"/>
  <c r="M41" i="5"/>
  <c r="L52" i="5" s="1"/>
  <c r="M35" i="5"/>
  <c r="M36" i="5"/>
  <c r="M40" i="5"/>
  <c r="M39" i="5"/>
  <c r="M38" i="5"/>
  <c r="M37" i="5"/>
  <c r="F7" i="12" l="1"/>
  <c r="F177" i="12"/>
  <c r="F168" i="12"/>
  <c r="M16" i="5"/>
  <c r="N16" i="5"/>
  <c r="L16" i="5"/>
  <c r="E177" i="12"/>
  <c r="G175" i="12"/>
  <c r="F175" i="12"/>
  <c r="E175" i="12"/>
  <c r="D175" i="12"/>
  <c r="G174" i="12"/>
  <c r="F174" i="12"/>
  <c r="E174" i="12"/>
  <c r="H174" i="12" s="1"/>
  <c r="G173" i="12"/>
  <c r="F173" i="12"/>
  <c r="E173" i="12"/>
  <c r="G172" i="12"/>
  <c r="F172" i="12"/>
  <c r="E172" i="12"/>
  <c r="H172" i="12" s="1"/>
  <c r="G171" i="12"/>
  <c r="F171" i="12"/>
  <c r="E171" i="12"/>
  <c r="H171" i="12" s="1"/>
  <c r="G170" i="12"/>
  <c r="F170" i="12"/>
  <c r="E170" i="12"/>
  <c r="H170" i="12" s="1"/>
  <c r="G169" i="12"/>
  <c r="F169" i="12"/>
  <c r="E169" i="12"/>
  <c r="H169" i="12" s="1"/>
  <c r="G168" i="12"/>
  <c r="E168" i="12"/>
  <c r="D168" i="12"/>
  <c r="G167" i="12"/>
  <c r="F167" i="12"/>
  <c r="E167" i="12"/>
  <c r="H167" i="12" s="1"/>
  <c r="D167" i="12"/>
  <c r="G166" i="12"/>
  <c r="F166" i="12"/>
  <c r="E166" i="12"/>
  <c r="D166" i="12"/>
  <c r="G163" i="12"/>
  <c r="H163" i="12" s="1"/>
  <c r="D163" i="12"/>
  <c r="G162" i="12"/>
  <c r="G161" i="12"/>
  <c r="H161" i="12" s="1"/>
  <c r="G160" i="12"/>
  <c r="H160" i="12" s="1"/>
  <c r="G159" i="12"/>
  <c r="H159" i="12" s="1"/>
  <c r="G158" i="12"/>
  <c r="H158" i="12" s="1"/>
  <c r="G157" i="12"/>
  <c r="H157" i="12" s="1"/>
  <c r="G156" i="12"/>
  <c r="H156" i="12" s="1"/>
  <c r="D156" i="12"/>
  <c r="G155" i="12"/>
  <c r="H155" i="12" s="1"/>
  <c r="F155" i="12"/>
  <c r="D155" i="12"/>
  <c r="G154" i="12"/>
  <c r="H154" i="12" s="1"/>
  <c r="F154" i="12"/>
  <c r="D154" i="12"/>
  <c r="F151" i="12"/>
  <c r="D151" i="12"/>
  <c r="F150" i="12"/>
  <c r="G150" i="12" s="1"/>
  <c r="F149" i="12"/>
  <c r="G149" i="12" s="1"/>
  <c r="F148" i="12"/>
  <c r="G148" i="12" s="1"/>
  <c r="F147" i="12"/>
  <c r="G147" i="12" s="1"/>
  <c r="F146" i="12"/>
  <c r="G146" i="12" s="1"/>
  <c r="F145" i="12"/>
  <c r="G145" i="12" s="1"/>
  <c r="F144" i="12"/>
  <c r="D144" i="12"/>
  <c r="F143" i="12"/>
  <c r="G143" i="12" s="1"/>
  <c r="D143" i="12"/>
  <c r="F142" i="12"/>
  <c r="G142" i="12" s="1"/>
  <c r="D142" i="12"/>
  <c r="E139" i="12"/>
  <c r="D139" i="12"/>
  <c r="E138" i="12"/>
  <c r="D138" i="12"/>
  <c r="E137" i="12"/>
  <c r="D137" i="12"/>
  <c r="E136" i="12"/>
  <c r="D136" i="12"/>
  <c r="E135" i="12"/>
  <c r="D135" i="12"/>
  <c r="E134" i="12"/>
  <c r="D134" i="12"/>
  <c r="E133" i="12"/>
  <c r="D133" i="12"/>
  <c r="E132" i="12"/>
  <c r="D132" i="12"/>
  <c r="F131" i="12"/>
  <c r="E131" i="12"/>
  <c r="F128" i="12"/>
  <c r="E128" i="12"/>
  <c r="D128" i="12"/>
  <c r="F127" i="12"/>
  <c r="E127" i="12"/>
  <c r="G138" i="12" s="1"/>
  <c r="D127" i="12"/>
  <c r="F126" i="12"/>
  <c r="E126" i="12"/>
  <c r="G137" i="12" s="1"/>
  <c r="D126" i="12"/>
  <c r="F125" i="12"/>
  <c r="E125" i="12"/>
  <c r="G136" i="12" s="1"/>
  <c r="D125" i="12"/>
  <c r="F124" i="12"/>
  <c r="E124" i="12"/>
  <c r="G135" i="12" s="1"/>
  <c r="D124" i="12"/>
  <c r="F123" i="12"/>
  <c r="E123" i="12"/>
  <c r="D123" i="12"/>
  <c r="F122" i="12"/>
  <c r="E122" i="12"/>
  <c r="G133" i="12" s="1"/>
  <c r="D122" i="12"/>
  <c r="F121" i="12"/>
  <c r="E121" i="12"/>
  <c r="D121" i="12"/>
  <c r="F120" i="12"/>
  <c r="E120" i="12"/>
  <c r="G117" i="12"/>
  <c r="F117" i="12"/>
  <c r="E117" i="12"/>
  <c r="H117" i="12" s="1"/>
  <c r="D117" i="12"/>
  <c r="G116" i="12"/>
  <c r="F116" i="12"/>
  <c r="E116" i="12"/>
  <c r="H116" i="12" s="1"/>
  <c r="D116" i="12"/>
  <c r="G115" i="12"/>
  <c r="F115" i="12"/>
  <c r="E115" i="12"/>
  <c r="H115" i="12" s="1"/>
  <c r="D115" i="12"/>
  <c r="G114" i="12"/>
  <c r="F114" i="12"/>
  <c r="E114" i="12"/>
  <c r="H114" i="12" s="1"/>
  <c r="D114" i="12"/>
  <c r="G113" i="12"/>
  <c r="F113" i="12"/>
  <c r="E113" i="12"/>
  <c r="H113" i="12" s="1"/>
  <c r="D113" i="12"/>
  <c r="G112" i="12"/>
  <c r="F112" i="12"/>
  <c r="E112" i="12"/>
  <c r="H112" i="12" s="1"/>
  <c r="D112" i="12"/>
  <c r="G111" i="12"/>
  <c r="F111" i="12"/>
  <c r="E111" i="12"/>
  <c r="D111" i="12"/>
  <c r="G110" i="12"/>
  <c r="F110" i="12"/>
  <c r="E110" i="12"/>
  <c r="D110" i="12"/>
  <c r="G109" i="12"/>
  <c r="F109" i="12"/>
  <c r="E109" i="12"/>
  <c r="G106" i="12"/>
  <c r="F106" i="12"/>
  <c r="E106" i="12"/>
  <c r="H106" i="12" s="1"/>
  <c r="D106" i="12"/>
  <c r="G105" i="12"/>
  <c r="F105" i="12"/>
  <c r="E105" i="12"/>
  <c r="H105" i="12" s="1"/>
  <c r="D105" i="12"/>
  <c r="G104" i="12"/>
  <c r="F104" i="12"/>
  <c r="E104" i="12"/>
  <c r="H104" i="12" s="1"/>
  <c r="D104" i="12"/>
  <c r="G103" i="12"/>
  <c r="F103" i="12"/>
  <c r="E103" i="12"/>
  <c r="H103" i="12" s="1"/>
  <c r="D103" i="12"/>
  <c r="G102" i="12"/>
  <c r="F102" i="12"/>
  <c r="E102" i="12"/>
  <c r="H102" i="12" s="1"/>
  <c r="D102" i="12"/>
  <c r="G101" i="12"/>
  <c r="F101" i="12"/>
  <c r="E101" i="12"/>
  <c r="H101" i="12" s="1"/>
  <c r="D101" i="12"/>
  <c r="G100" i="12"/>
  <c r="F100" i="12"/>
  <c r="E100" i="12"/>
  <c r="H100" i="12" s="1"/>
  <c r="D100" i="12"/>
  <c r="G99" i="12"/>
  <c r="F99" i="12"/>
  <c r="E99" i="12"/>
  <c r="D99" i="12"/>
  <c r="G98" i="12"/>
  <c r="F98" i="12"/>
  <c r="E98" i="12"/>
  <c r="G95" i="12"/>
  <c r="H95" i="12" s="1"/>
  <c r="D95" i="12"/>
  <c r="G94" i="12"/>
  <c r="H94" i="12" s="1"/>
  <c r="D94" i="12"/>
  <c r="G93" i="12"/>
  <c r="H93" i="12" s="1"/>
  <c r="D93" i="12"/>
  <c r="G92" i="12"/>
  <c r="H92" i="12" s="1"/>
  <c r="D92" i="12"/>
  <c r="G91" i="12"/>
  <c r="H91" i="12" s="1"/>
  <c r="D91" i="12"/>
  <c r="G90" i="12"/>
  <c r="D90" i="12"/>
  <c r="G89" i="12"/>
  <c r="D89" i="12"/>
  <c r="G88" i="12"/>
  <c r="D88" i="12"/>
  <c r="G87" i="12"/>
  <c r="F84" i="12"/>
  <c r="G84" i="12" s="1"/>
  <c r="E84" i="12"/>
  <c r="D84" i="12"/>
  <c r="F83" i="12"/>
  <c r="G83" i="12" s="1"/>
  <c r="D83" i="12"/>
  <c r="E83" i="12" s="1"/>
  <c r="F82" i="12"/>
  <c r="G82" i="12" s="1"/>
  <c r="D82" i="12"/>
  <c r="E82" i="12" s="1"/>
  <c r="F81" i="12"/>
  <c r="G81" i="12" s="1"/>
  <c r="D81" i="12"/>
  <c r="E81" i="12" s="1"/>
  <c r="F80" i="12"/>
  <c r="G80" i="12" s="1"/>
  <c r="D80" i="12"/>
  <c r="E80" i="12" s="1"/>
  <c r="F79" i="12"/>
  <c r="G79" i="12" s="1"/>
  <c r="D79" i="12"/>
  <c r="E79" i="12" s="1"/>
  <c r="F78" i="12"/>
  <c r="D78" i="12"/>
  <c r="E78" i="12" s="1"/>
  <c r="F77" i="12"/>
  <c r="G77" i="12" s="1"/>
  <c r="D77" i="12"/>
  <c r="E77" i="12" s="1"/>
  <c r="F76" i="12"/>
  <c r="F73" i="12"/>
  <c r="E73" i="12"/>
  <c r="D73" i="12"/>
  <c r="F72" i="12"/>
  <c r="E72" i="12"/>
  <c r="D72" i="12"/>
  <c r="F71" i="12"/>
  <c r="E71" i="12"/>
  <c r="D71" i="12"/>
  <c r="F70" i="12"/>
  <c r="E70" i="12"/>
  <c r="D70" i="12"/>
  <c r="F69" i="12"/>
  <c r="E69" i="12"/>
  <c r="D69" i="12"/>
  <c r="F68" i="12"/>
  <c r="E68" i="12"/>
  <c r="D68" i="12"/>
  <c r="F67" i="12"/>
  <c r="E67" i="12"/>
  <c r="D67" i="12"/>
  <c r="F66" i="12"/>
  <c r="E66" i="12"/>
  <c r="D66" i="12"/>
  <c r="F65" i="12"/>
  <c r="E65" i="12"/>
  <c r="D65" i="12"/>
  <c r="E62" i="12"/>
  <c r="G73" i="12" s="1"/>
  <c r="D62" i="12"/>
  <c r="F61" i="12"/>
  <c r="E61" i="12"/>
  <c r="G72" i="12" s="1"/>
  <c r="D61" i="12"/>
  <c r="F60" i="12"/>
  <c r="E60" i="12"/>
  <c r="G71" i="12" s="1"/>
  <c r="D60" i="12"/>
  <c r="F59" i="12"/>
  <c r="E59" i="12"/>
  <c r="G70" i="12" s="1"/>
  <c r="D59" i="12"/>
  <c r="F58" i="12"/>
  <c r="E58" i="12"/>
  <c r="G69" i="12" s="1"/>
  <c r="D58" i="12"/>
  <c r="F57" i="12"/>
  <c r="E57" i="12"/>
  <c r="D57" i="12"/>
  <c r="F56" i="12"/>
  <c r="E56" i="12"/>
  <c r="D56" i="12"/>
  <c r="F55" i="12"/>
  <c r="E55" i="12"/>
  <c r="D55" i="12"/>
  <c r="F54" i="12"/>
  <c r="E54" i="12"/>
  <c r="D54" i="12"/>
  <c r="G51" i="12"/>
  <c r="F51" i="12"/>
  <c r="E51" i="12"/>
  <c r="H51" i="12" s="1"/>
  <c r="D51" i="12"/>
  <c r="G50" i="12"/>
  <c r="F50" i="12"/>
  <c r="E50" i="12"/>
  <c r="H50" i="12" s="1"/>
  <c r="D50" i="12"/>
  <c r="G49" i="12"/>
  <c r="F49" i="12"/>
  <c r="E49" i="12"/>
  <c r="K49" i="12" s="1"/>
  <c r="D49" i="12"/>
  <c r="G48" i="12"/>
  <c r="F48" i="12"/>
  <c r="E48" i="12"/>
  <c r="H48" i="12" s="1"/>
  <c r="D48" i="12"/>
  <c r="G47" i="12"/>
  <c r="F47" i="12"/>
  <c r="E47" i="12"/>
  <c r="D47" i="12"/>
  <c r="G46" i="12"/>
  <c r="F46" i="12"/>
  <c r="E46" i="12"/>
  <c r="H46" i="12" s="1"/>
  <c r="D46" i="12"/>
  <c r="G45" i="12"/>
  <c r="F45" i="12"/>
  <c r="E45" i="12"/>
  <c r="H45" i="12" s="1"/>
  <c r="D45" i="12"/>
  <c r="G44" i="12"/>
  <c r="F44" i="12"/>
  <c r="E44" i="12"/>
  <c r="D44" i="12"/>
  <c r="G43" i="12"/>
  <c r="F43" i="12"/>
  <c r="E43" i="12"/>
  <c r="D43" i="12"/>
  <c r="G40" i="12"/>
  <c r="F40" i="12"/>
  <c r="E40" i="12"/>
  <c r="H40" i="12" s="1"/>
  <c r="D40" i="12"/>
  <c r="G39" i="12"/>
  <c r="F39" i="12"/>
  <c r="E39" i="12"/>
  <c r="H39" i="12" s="1"/>
  <c r="D39" i="12"/>
  <c r="G38" i="12"/>
  <c r="F38" i="12"/>
  <c r="E38" i="12"/>
  <c r="H38" i="12" s="1"/>
  <c r="D38" i="12"/>
  <c r="G37" i="12"/>
  <c r="F37" i="12"/>
  <c r="E37" i="12"/>
  <c r="H37" i="12" s="1"/>
  <c r="D37" i="12"/>
  <c r="G36" i="12"/>
  <c r="F36" i="12"/>
  <c r="E36" i="12"/>
  <c r="K36" i="12" s="1"/>
  <c r="D36" i="12"/>
  <c r="G35" i="12"/>
  <c r="F35" i="12"/>
  <c r="E35" i="12"/>
  <c r="H35" i="12" s="1"/>
  <c r="D35" i="12"/>
  <c r="G34" i="12"/>
  <c r="F34" i="12"/>
  <c r="E34" i="12"/>
  <c r="H34" i="12" s="1"/>
  <c r="D34" i="12"/>
  <c r="G33" i="12"/>
  <c r="F33" i="12"/>
  <c r="E33" i="12"/>
  <c r="D33" i="12"/>
  <c r="G32" i="12"/>
  <c r="F32" i="12"/>
  <c r="E32" i="12"/>
  <c r="D32" i="12"/>
  <c r="G29" i="12"/>
  <c r="H29" i="12" s="1"/>
  <c r="D29" i="12"/>
  <c r="G28" i="12"/>
  <c r="H28" i="12" s="1"/>
  <c r="D28" i="12"/>
  <c r="G27" i="12"/>
  <c r="H27" i="12" s="1"/>
  <c r="D27" i="12"/>
  <c r="G26" i="12"/>
  <c r="H26" i="12" s="1"/>
  <c r="D26" i="12"/>
  <c r="G25" i="12"/>
  <c r="D25" i="12"/>
  <c r="G24" i="12"/>
  <c r="D24" i="12"/>
  <c r="G23" i="12"/>
  <c r="D23" i="12"/>
  <c r="G22" i="12"/>
  <c r="E22" i="12"/>
  <c r="D22" i="12"/>
  <c r="G21" i="12"/>
  <c r="E21" i="12"/>
  <c r="D21" i="12"/>
  <c r="F18" i="12"/>
  <c r="G18" i="12" s="1"/>
  <c r="E18" i="12"/>
  <c r="D18" i="12"/>
  <c r="F17" i="12"/>
  <c r="G17" i="12" s="1"/>
  <c r="D17" i="12"/>
  <c r="E17" i="12" s="1"/>
  <c r="F16" i="12"/>
  <c r="G16" i="12" s="1"/>
  <c r="D16" i="12"/>
  <c r="E16" i="12" s="1"/>
  <c r="F15" i="12"/>
  <c r="G15" i="12" s="1"/>
  <c r="D15" i="12"/>
  <c r="E15" i="12" s="1"/>
  <c r="F14" i="12"/>
  <c r="D14" i="12"/>
  <c r="E14" i="12" s="1"/>
  <c r="F13" i="12"/>
  <c r="D13" i="12"/>
  <c r="E13" i="12" s="1"/>
  <c r="F12" i="12"/>
  <c r="G12" i="12" s="1"/>
  <c r="D12" i="12"/>
  <c r="E12" i="12" s="1"/>
  <c r="F11" i="12"/>
  <c r="D11" i="12"/>
  <c r="E11" i="12" s="1"/>
  <c r="F10" i="12"/>
  <c r="D10" i="12"/>
  <c r="E10" i="12" s="1"/>
  <c r="B8" i="12"/>
  <c r="A8" i="12"/>
  <c r="E7" i="12"/>
  <c r="D7" i="12"/>
  <c r="F6" i="12"/>
  <c r="E6" i="12"/>
  <c r="D6" i="12"/>
  <c r="F5" i="12"/>
  <c r="E5" i="12"/>
  <c r="D5" i="12"/>
  <c r="F4" i="12"/>
  <c r="E4" i="12"/>
  <c r="D4" i="12"/>
  <c r="B3" i="12"/>
  <c r="A3" i="12"/>
  <c r="F2" i="12"/>
  <c r="E2" i="12"/>
  <c r="D2" i="12"/>
  <c r="H175" i="12"/>
  <c r="H173" i="12"/>
  <c r="H162" i="12"/>
  <c r="G151" i="12"/>
  <c r="G139" i="12"/>
  <c r="I157" i="12" a="1"/>
  <c r="H151" i="12" a="1"/>
  <c r="I158" i="12" a="1"/>
  <c r="H80" i="12" a="1"/>
  <c r="I104" i="12" a="1"/>
  <c r="I95" i="12" a="1"/>
  <c r="I34" i="12" a="1"/>
  <c r="H142" i="12" a="1"/>
  <c r="H147" i="12" a="1"/>
  <c r="I156" i="12" a="1"/>
  <c r="H137" i="12" a="1"/>
  <c r="I174" i="12" a="1"/>
  <c r="I171" i="12" a="1"/>
  <c r="H145" i="12" a="1"/>
  <c r="I155" i="12" a="1"/>
  <c r="I112" i="12" a="1"/>
  <c r="H84" i="12" a="1"/>
  <c r="H70" i="12" a="1"/>
  <c r="I113" i="12" a="1"/>
  <c r="H146" i="12" a="1"/>
  <c r="I37" i="12" a="1"/>
  <c r="I102" i="12" a="1"/>
  <c r="I172" i="12" a="1"/>
  <c r="I39" i="12" a="1"/>
  <c r="I91" i="12" a="1"/>
  <c r="I160" i="12" a="1"/>
  <c r="I175" i="12" a="1"/>
  <c r="H138" i="12" a="1"/>
  <c r="H82" i="12" a="1"/>
  <c r="H18" i="12" a="1"/>
  <c r="H16" i="12" a="1"/>
  <c r="I92" i="12" a="1"/>
  <c r="I162" i="12" a="1"/>
  <c r="I154" i="12" a="1"/>
  <c r="H149" i="12" a="1"/>
  <c r="I48" i="12" a="1"/>
  <c r="I27" i="12" a="1"/>
  <c r="I106" i="12" a="1"/>
  <c r="I114" i="12" a="1"/>
  <c r="H135" i="12" a="1"/>
  <c r="H136" i="12" a="1"/>
  <c r="I46" i="12" a="1"/>
  <c r="H71" i="12" a="1"/>
  <c r="I29" i="12" a="1"/>
  <c r="H77" i="12" a="1"/>
  <c r="H72" i="12" a="1"/>
  <c r="I116" i="12" a="1"/>
  <c r="H133" i="12" a="1"/>
  <c r="H150" i="12" a="1"/>
  <c r="H81" i="12" a="1"/>
  <c r="I93" i="12" a="1"/>
  <c r="I40" i="12" a="1"/>
  <c r="I161" i="12" a="1"/>
  <c r="I105" i="12" a="1"/>
  <c r="I45" i="12" a="1"/>
  <c r="L36" i="12" a="1"/>
  <c r="H79" i="12" a="1"/>
  <c r="H139" i="12" a="1"/>
  <c r="I103" i="12" a="1"/>
  <c r="I163" i="12" a="1"/>
  <c r="I170" i="12" a="1"/>
  <c r="H12" i="12" a="1"/>
  <c r="L49" i="12" a="1"/>
  <c r="H148" i="12" a="1"/>
  <c r="H73" i="12" a="1"/>
  <c r="I26" i="12" a="1"/>
  <c r="H143" i="12" a="1"/>
  <c r="I173" i="12" a="1"/>
  <c r="I94" i="12" a="1"/>
  <c r="I169" i="12" a="1"/>
  <c r="I50" i="12" a="1"/>
  <c r="I159" i="12" a="1"/>
  <c r="H83" i="12" a="1"/>
  <c r="H69" i="12" a="1"/>
  <c r="I115" i="12" a="1"/>
  <c r="I167" i="12" a="1"/>
  <c r="I28" i="12" a="1"/>
  <c r="I35" i="12" a="1"/>
  <c r="H15" i="12" a="1"/>
  <c r="H17" i="12" a="1"/>
  <c r="I117" i="12" a="1"/>
  <c r="H110" i="12" l="1"/>
  <c r="K43" i="12"/>
  <c r="H99" i="12"/>
  <c r="H44" i="12"/>
  <c r="K33" i="12"/>
  <c r="H139" i="12"/>
  <c r="I139" i="12" s="1"/>
  <c r="I175" i="12"/>
  <c r="J175" i="12" s="1"/>
  <c r="H70" i="12"/>
  <c r="I70" i="12" s="1"/>
  <c r="H72" i="12"/>
  <c r="I72" i="12" s="1"/>
  <c r="H133" i="12"/>
  <c r="I133" i="12" s="1"/>
  <c r="H135" i="12"/>
  <c r="I135" i="12" s="1"/>
  <c r="H137" i="12"/>
  <c r="I137" i="12" s="1"/>
  <c r="I170" i="12"/>
  <c r="J170" i="12" s="1"/>
  <c r="I172" i="12"/>
  <c r="J172" i="12" s="1"/>
  <c r="I174" i="12"/>
  <c r="J174" i="12" s="1"/>
  <c r="I173" i="12"/>
  <c r="J173" i="12" s="1"/>
  <c r="L36" i="12"/>
  <c r="M36" i="12" s="1"/>
  <c r="I45" i="12"/>
  <c r="J45" i="12" s="1"/>
  <c r="I46" i="12"/>
  <c r="J46" i="12" s="1"/>
  <c r="I48" i="12"/>
  <c r="J48" i="12" s="1"/>
  <c r="L49" i="12"/>
  <c r="M49" i="12" s="1"/>
  <c r="I50" i="12"/>
  <c r="J50" i="12" s="1"/>
  <c r="H69" i="12"/>
  <c r="I69" i="12" s="1"/>
  <c r="H71" i="12"/>
  <c r="I71" i="12" s="1"/>
  <c r="H73" i="12"/>
  <c r="I73" i="12" s="1"/>
  <c r="I112" i="12"/>
  <c r="J112" i="12" s="1"/>
  <c r="I113" i="12"/>
  <c r="J113" i="12" s="1"/>
  <c r="I114" i="12"/>
  <c r="J114" i="12" s="1"/>
  <c r="I115" i="12"/>
  <c r="J115" i="12" s="1"/>
  <c r="I116" i="12"/>
  <c r="J116" i="12" s="1"/>
  <c r="I117" i="12"/>
  <c r="J117" i="12" s="1"/>
  <c r="H136" i="12"/>
  <c r="I136" i="12" s="1"/>
  <c r="H138" i="12"/>
  <c r="I138" i="12" s="1"/>
  <c r="I167" i="12"/>
  <c r="J167" i="12" s="1"/>
  <c r="I169" i="12"/>
  <c r="J169" i="12" s="1"/>
  <c r="I171" i="12"/>
  <c r="J171" i="12" s="1"/>
  <c r="I155" i="12"/>
  <c r="J155" i="12" s="1"/>
  <c r="I154" i="12"/>
  <c r="J154" i="12" s="1"/>
  <c r="H151" i="12"/>
  <c r="I151" i="12" s="1"/>
  <c r="H18" i="12"/>
  <c r="I18" i="12" s="1"/>
  <c r="H84" i="12"/>
  <c r="I84" i="12" s="1"/>
  <c r="I27" i="12"/>
  <c r="J27" i="12" s="1"/>
  <c r="I26" i="12"/>
  <c r="J26" i="12" s="1"/>
  <c r="I28" i="12"/>
  <c r="J28" i="12" s="1"/>
  <c r="H77" i="12"/>
  <c r="I77" i="12" s="1"/>
  <c r="I91" i="12"/>
  <c r="J91" i="12" s="1"/>
  <c r="I162" i="12"/>
  <c r="J162" i="12" s="1"/>
  <c r="H15" i="12"/>
  <c r="I15" i="12" s="1"/>
  <c r="H17" i="12"/>
  <c r="I17" i="12" s="1"/>
  <c r="H145" i="12"/>
  <c r="I145" i="12" s="1"/>
  <c r="H149" i="12"/>
  <c r="I149" i="12" s="1"/>
  <c r="I157" i="12"/>
  <c r="J157" i="12" s="1"/>
  <c r="I161" i="12"/>
  <c r="J161" i="12" s="1"/>
  <c r="H79" i="12"/>
  <c r="I79" i="12" s="1"/>
  <c r="H82" i="12"/>
  <c r="I82" i="12" s="1"/>
  <c r="I94" i="12"/>
  <c r="J94" i="12" s="1"/>
  <c r="H143" i="12"/>
  <c r="I143" i="12" s="1"/>
  <c r="H146" i="12"/>
  <c r="I146" i="12" s="1"/>
  <c r="H150" i="12"/>
  <c r="I150" i="12" s="1"/>
  <c r="I158" i="12"/>
  <c r="J158" i="12" s="1"/>
  <c r="I29" i="12"/>
  <c r="J29" i="12" s="1"/>
  <c r="H81" i="12"/>
  <c r="I81" i="12" s="1"/>
  <c r="H80" i="12"/>
  <c r="I80" i="12" s="1"/>
  <c r="I92" i="12"/>
  <c r="J92" i="12" s="1"/>
  <c r="H12" i="12"/>
  <c r="I12" i="12" s="1"/>
  <c r="H16" i="12"/>
  <c r="I16" i="12" s="1"/>
  <c r="H147" i="12"/>
  <c r="I147" i="12" s="1"/>
  <c r="I159" i="12"/>
  <c r="J159" i="12" s="1"/>
  <c r="H83" i="12"/>
  <c r="I83" i="12" s="1"/>
  <c r="I93" i="12"/>
  <c r="J93" i="12" s="1"/>
  <c r="I95" i="12"/>
  <c r="J95" i="12" s="1"/>
  <c r="H142" i="12"/>
  <c r="I142" i="12" s="1"/>
  <c r="H148" i="12"/>
  <c r="I148" i="12" s="1"/>
  <c r="I156" i="12"/>
  <c r="J156" i="12" s="1"/>
  <c r="I160" i="12"/>
  <c r="J160" i="12" s="1"/>
  <c r="I163" i="12"/>
  <c r="J163" i="12" s="1"/>
  <c r="I103" i="12"/>
  <c r="J103" i="12" s="1"/>
  <c r="I105" i="12"/>
  <c r="J105" i="12" s="1"/>
  <c r="I106" i="12"/>
  <c r="J106" i="12" s="1"/>
  <c r="I35" i="12"/>
  <c r="J35" i="12" s="1"/>
  <c r="I40" i="12"/>
  <c r="J40" i="12" s="1"/>
  <c r="I104" i="12"/>
  <c r="J104" i="12" s="1"/>
  <c r="I37" i="12"/>
  <c r="J37" i="12" s="1"/>
  <c r="I102" i="12"/>
  <c r="J102" i="12" s="1"/>
  <c r="I34" i="12"/>
  <c r="J34" i="12" s="1"/>
  <c r="I39" i="12"/>
  <c r="J39" i="12" s="1"/>
  <c r="H166" i="12"/>
  <c r="G128" i="12"/>
  <c r="K46" i="12"/>
  <c r="G62" i="12"/>
  <c r="K48" i="12"/>
  <c r="K38" i="12"/>
  <c r="K40" i="12"/>
  <c r="K50" i="12"/>
  <c r="K103" i="12"/>
  <c r="K105" i="12"/>
  <c r="G127" i="12"/>
  <c r="G125" i="12"/>
  <c r="G124" i="12"/>
  <c r="K106" i="12"/>
  <c r="K51" i="12"/>
  <c r="G59" i="12"/>
  <c r="G61" i="12"/>
  <c r="K37" i="12"/>
  <c r="G126" i="12"/>
  <c r="G14" i="12"/>
  <c r="K102" i="12"/>
  <c r="H36" i="12"/>
  <c r="G57" i="12"/>
  <c r="G67" i="12"/>
  <c r="G78" i="12"/>
  <c r="K32" i="12"/>
  <c r="G4" i="12"/>
  <c r="H4" i="12" s="1"/>
  <c r="I4" i="12" s="1"/>
  <c r="H168" i="12"/>
  <c r="G123" i="12"/>
  <c r="G122" i="12"/>
  <c r="K99" i="12"/>
  <c r="G120" i="12"/>
  <c r="G76" i="12"/>
  <c r="H47" i="12"/>
  <c r="G13" i="12"/>
  <c r="K45" i="12"/>
  <c r="K34" i="12"/>
  <c r="G55" i="12"/>
  <c r="H33" i="12"/>
  <c r="G11" i="12"/>
  <c r="K47" i="12"/>
  <c r="H109" i="12"/>
  <c r="K44" i="12"/>
  <c r="K104" i="12"/>
  <c r="H49" i="12"/>
  <c r="K39" i="12"/>
  <c r="H111" i="12"/>
  <c r="G10" i="12"/>
  <c r="G58" i="12"/>
  <c r="G65" i="12"/>
  <c r="G68" i="12"/>
  <c r="G66" i="12"/>
  <c r="K98" i="12"/>
  <c r="G6" i="12"/>
  <c r="H6" i="12" s="1"/>
  <c r="I6" i="12" s="1"/>
  <c r="K35" i="12"/>
  <c r="G54" i="12"/>
  <c r="G56" i="12"/>
  <c r="G60" i="12"/>
  <c r="G131" i="12"/>
  <c r="G134" i="12"/>
  <c r="G5" i="12"/>
  <c r="H5" i="12" s="1"/>
  <c r="I5" i="12" s="1"/>
  <c r="K100" i="12"/>
  <c r="K101" i="12"/>
  <c r="G121" i="12"/>
  <c r="H123" i="12" a="1"/>
  <c r="H134" i="12" a="1"/>
  <c r="H125" i="12" a="1"/>
  <c r="H59" i="12" a="1"/>
  <c r="L47" i="12" a="1"/>
  <c r="H56" i="12" a="1"/>
  <c r="H62" i="12" a="1"/>
  <c r="L106" i="12" a="1"/>
  <c r="H54" i="12" a="1"/>
  <c r="I168" i="12" a="1"/>
  <c r="H67" i="12" a="1"/>
  <c r="H76" i="12" a="1"/>
  <c r="L98" i="12" a="1"/>
  <c r="L48" i="12" a="1"/>
  <c r="I36" i="12" a="1"/>
  <c r="H121" i="12" a="1"/>
  <c r="L44" i="12" a="1"/>
  <c r="H131" i="12" a="1"/>
  <c r="H68" i="12" a="1"/>
  <c r="I109" i="12" a="1"/>
  <c r="H66" i="12" a="1"/>
  <c r="H78" i="12" a="1"/>
  <c r="L105" i="12" a="1"/>
  <c r="L100" i="12" a="1"/>
  <c r="H65" i="12" a="1"/>
  <c r="L33" i="12" a="1"/>
  <c r="L102" i="12" a="1"/>
  <c r="L99" i="12" a="1"/>
  <c r="H122" i="12" a="1"/>
  <c r="I166" i="12" a="1"/>
  <c r="L50" i="12" a="1"/>
  <c r="L38" i="12" a="1"/>
  <c r="L34" i="12" a="1"/>
  <c r="H14" i="12" a="1"/>
  <c r="L37" i="12" a="1"/>
  <c r="I49" i="12" a="1"/>
  <c r="G177" i="12" a="1"/>
  <c r="L51" i="12" a="1"/>
  <c r="I33" i="12" a="1"/>
  <c r="L45" i="12" a="1"/>
  <c r="L35" i="12" a="1"/>
  <c r="L104" i="12" a="1"/>
  <c r="H58" i="12" a="1"/>
  <c r="I111" i="12" a="1"/>
  <c r="H13" i="12" a="1"/>
  <c r="H126" i="12" a="1"/>
  <c r="H57" i="12" a="1"/>
  <c r="H60" i="12" a="1"/>
  <c r="L39" i="12" a="1"/>
  <c r="H120" i="12" a="1"/>
  <c r="I110" i="12" a="1"/>
  <c r="I47" i="12" a="1"/>
  <c r="I99" i="12" a="1"/>
  <c r="I51" i="12" a="1"/>
  <c r="L43" i="12" a="1"/>
  <c r="H128" i="12" a="1"/>
  <c r="L46" i="12" a="1"/>
  <c r="I101" i="12" a="1"/>
  <c r="H124" i="12" a="1"/>
  <c r="H55" i="12" a="1"/>
  <c r="I44" i="12" a="1"/>
  <c r="L40" i="12" a="1"/>
  <c r="L101" i="12" a="1"/>
  <c r="I38" i="12" a="1"/>
  <c r="L32" i="12" a="1"/>
  <c r="L103" i="12" a="1"/>
  <c r="I100" i="12" a="1"/>
  <c r="H61" i="12" a="1"/>
  <c r="H11" i="12" a="1"/>
  <c r="H10" i="12" a="1"/>
  <c r="H127" i="12" a="1"/>
  <c r="I110" i="12" l="1"/>
  <c r="J110" i="12" s="1"/>
  <c r="L43" i="12"/>
  <c r="M43" i="12" s="1"/>
  <c r="I44" i="12"/>
  <c r="J44" i="12" s="1"/>
  <c r="L33" i="12"/>
  <c r="M33" i="12" s="1"/>
  <c r="H121" i="12"/>
  <c r="I121" i="12" s="1"/>
  <c r="L100" i="12"/>
  <c r="M100" i="12" s="1"/>
  <c r="H134" i="12"/>
  <c r="I134" i="12" s="1"/>
  <c r="H60" i="12"/>
  <c r="I60" i="12" s="1"/>
  <c r="H56" i="12"/>
  <c r="I56" i="12" s="1"/>
  <c r="L35" i="12"/>
  <c r="M35" i="12" s="1"/>
  <c r="L98" i="12"/>
  <c r="M98" i="12" s="1"/>
  <c r="H66" i="12"/>
  <c r="I66" i="12" s="1"/>
  <c r="H65" i="12"/>
  <c r="I65" i="12" s="1"/>
  <c r="L39" i="12"/>
  <c r="M39" i="12" s="1"/>
  <c r="L104" i="12"/>
  <c r="M104" i="12" s="1"/>
  <c r="I109" i="12"/>
  <c r="J109" i="12" s="1"/>
  <c r="H55" i="12"/>
  <c r="I55" i="12" s="1"/>
  <c r="L45" i="12"/>
  <c r="M45" i="12" s="1"/>
  <c r="I47" i="12"/>
  <c r="J47" i="12" s="1"/>
  <c r="H120" i="12"/>
  <c r="I120" i="12" s="1"/>
  <c r="H122" i="12"/>
  <c r="I122" i="12" s="1"/>
  <c r="I168" i="12"/>
  <c r="J168" i="12" s="1"/>
  <c r="G177" i="12"/>
  <c r="H177" i="12" s="1"/>
  <c r="H57" i="12"/>
  <c r="I57" i="12" s="1"/>
  <c r="L102" i="12"/>
  <c r="M102" i="12" s="1"/>
  <c r="H126" i="12"/>
  <c r="I126" i="12" s="1"/>
  <c r="H61" i="12"/>
  <c r="I61" i="12" s="1"/>
  <c r="L51" i="12"/>
  <c r="M51" i="12" s="1"/>
  <c r="H124" i="12"/>
  <c r="I124" i="12" s="1"/>
  <c r="H127" i="12"/>
  <c r="I127" i="12" s="1"/>
  <c r="L103" i="12"/>
  <c r="M103" i="12" s="1"/>
  <c r="L40" i="12"/>
  <c r="M40" i="12" s="1"/>
  <c r="L48" i="12"/>
  <c r="M48" i="12" s="1"/>
  <c r="L46" i="12"/>
  <c r="M46" i="12" s="1"/>
  <c r="I166" i="12"/>
  <c r="J166" i="12" s="1"/>
  <c r="L101" i="12"/>
  <c r="M101" i="12" s="1"/>
  <c r="H131" i="12"/>
  <c r="I131" i="12" s="1"/>
  <c r="I51" i="12"/>
  <c r="J51" i="12" s="1"/>
  <c r="H54" i="12"/>
  <c r="I54" i="12" s="1"/>
  <c r="H68" i="12"/>
  <c r="I68" i="12" s="1"/>
  <c r="H58" i="12"/>
  <c r="I58" i="12" s="1"/>
  <c r="I111" i="12"/>
  <c r="J111" i="12" s="1"/>
  <c r="I49" i="12"/>
  <c r="J49" i="12" s="1"/>
  <c r="L44" i="12"/>
  <c r="M44" i="12" s="1"/>
  <c r="L47" i="12"/>
  <c r="M47" i="12" s="1"/>
  <c r="L34" i="12"/>
  <c r="M34" i="12" s="1"/>
  <c r="L99" i="12"/>
  <c r="M99" i="12" s="1"/>
  <c r="H123" i="12"/>
  <c r="I123" i="12" s="1"/>
  <c r="L32" i="12"/>
  <c r="M32" i="12" s="1"/>
  <c r="H67" i="12"/>
  <c r="I67" i="12" s="1"/>
  <c r="L37" i="12"/>
  <c r="M37" i="12" s="1"/>
  <c r="H59" i="12"/>
  <c r="I59" i="12" s="1"/>
  <c r="L106" i="12"/>
  <c r="M106" i="12" s="1"/>
  <c r="H125" i="12"/>
  <c r="I125" i="12" s="1"/>
  <c r="L105" i="12"/>
  <c r="M105" i="12" s="1"/>
  <c r="L50" i="12"/>
  <c r="M50" i="12" s="1"/>
  <c r="L38" i="12"/>
  <c r="M38" i="12" s="1"/>
  <c r="H62" i="12"/>
  <c r="I62" i="12" s="1"/>
  <c r="H128" i="12"/>
  <c r="I128" i="12" s="1"/>
  <c r="H10" i="12"/>
  <c r="I10" i="12" s="1"/>
  <c r="H76" i="12"/>
  <c r="I76" i="12" s="1"/>
  <c r="H11" i="12"/>
  <c r="I11" i="12" s="1"/>
  <c r="H78" i="12"/>
  <c r="I78" i="12" s="1"/>
  <c r="H14" i="12"/>
  <c r="I14" i="12" s="1"/>
  <c r="H13" i="12"/>
  <c r="I13" i="12" s="1"/>
  <c r="I38" i="12"/>
  <c r="J38" i="12" s="1"/>
  <c r="I36" i="12"/>
  <c r="J36" i="12" s="1"/>
  <c r="I100" i="12"/>
  <c r="J100" i="12" s="1"/>
  <c r="I101" i="12"/>
  <c r="J101" i="12" s="1"/>
  <c r="I33" i="12"/>
  <c r="J33" i="12" s="1"/>
  <c r="I99" i="12"/>
  <c r="J99" i="12" s="1"/>
  <c r="L27" i="5"/>
  <c r="U28" i="5"/>
  <c r="M28" i="5"/>
  <c r="N28" i="5"/>
  <c r="O28" i="5"/>
  <c r="P28" i="5"/>
  <c r="Q28" i="5"/>
  <c r="R28" i="5"/>
  <c r="S28" i="5"/>
  <c r="V28" i="5"/>
  <c r="W28" i="5"/>
  <c r="X28" i="5"/>
  <c r="O16" i="9" l="1"/>
  <c r="Y28" i="5" s="1"/>
  <c r="O17" i="9"/>
  <c r="Y29" i="5" s="1"/>
  <c r="O18" i="9"/>
  <c r="O19" i="9"/>
  <c r="O21" i="9"/>
  <c r="O15" i="9"/>
  <c r="U27" i="5" l="1"/>
  <c r="Y27" i="5" l="1"/>
  <c r="V27" i="5"/>
  <c r="W27" i="5"/>
  <c r="X27" i="5"/>
  <c r="S27" i="5"/>
  <c r="N27" i="5"/>
  <c r="O27" i="5"/>
  <c r="P27" i="5"/>
  <c r="Q27" i="5"/>
  <c r="R27" i="5"/>
  <c r="M27" i="5"/>
  <c r="P16" i="9"/>
  <c r="Z28" i="5" s="1"/>
  <c r="P17" i="9"/>
  <c r="Z29" i="5" s="1"/>
  <c r="T5" i="5" s="1"/>
  <c r="P18" i="9"/>
  <c r="P19" i="9"/>
  <c r="P21" i="9"/>
  <c r="P15" i="9"/>
  <c r="Z27" i="5" s="1"/>
  <c r="F23" i="12" l="1"/>
  <c r="H23" i="12" s="1"/>
  <c r="I23" i="12" a="1"/>
  <c r="I23" i="12" l="1"/>
  <c r="J23" i="12" s="1"/>
  <c r="F25" i="12"/>
  <c r="H25" i="12" s="1"/>
  <c r="I25" i="12" a="1"/>
  <c r="I25" i="12" l="1"/>
  <c r="J25" i="12" s="1"/>
  <c r="F24" i="12"/>
  <c r="H24" i="12" s="1"/>
  <c r="F26" i="12"/>
  <c r="F27" i="12"/>
  <c r="F28" i="12"/>
  <c r="F29" i="12"/>
  <c r="I24" i="12" a="1"/>
  <c r="I24" i="12" l="1"/>
  <c r="J24" i="12" s="1"/>
  <c r="L39" i="5"/>
  <c r="E27" i="12" s="1"/>
  <c r="L36" i="5"/>
  <c r="E24" i="12" s="1"/>
  <c r="E95" i="12"/>
  <c r="L41" i="5"/>
  <c r="E29" i="12" s="1"/>
  <c r="L38" i="5"/>
  <c r="E26" i="12" s="1"/>
  <c r="L35" i="5"/>
  <c r="E23" i="12" s="1"/>
  <c r="L37" i="5"/>
  <c r="E25" i="12" s="1"/>
  <c r="L40" i="5"/>
  <c r="E28" i="12" s="1"/>
  <c r="J53" i="10"/>
  <c r="J52" i="10"/>
  <c r="J41" i="10"/>
  <c r="J42" i="10"/>
  <c r="H40" i="10"/>
  <c r="F53" i="10" l="1"/>
  <c r="F52" i="10"/>
  <c r="F42" i="10"/>
  <c r="F41" i="10"/>
  <c r="F40" i="10"/>
  <c r="J65" i="5" l="1"/>
  <c r="J64" i="5"/>
  <c r="J63" i="5"/>
  <c r="J62" i="5"/>
  <c r="J61" i="5"/>
  <c r="J60" i="5"/>
  <c r="J59" i="5"/>
  <c r="J58" i="5"/>
  <c r="J57" i="5"/>
  <c r="J56" i="5"/>
  <c r="E155" i="12" l="1"/>
  <c r="E154" i="12"/>
  <c r="E143" i="12"/>
  <c r="E142" i="12"/>
  <c r="L65" i="5" l="1"/>
  <c r="N65" i="5" s="1"/>
  <c r="M65" i="5" s="1"/>
  <c r="L58" i="5"/>
  <c r="K48" i="5"/>
  <c r="K59" i="5"/>
  <c r="N59" i="5" s="1"/>
  <c r="M59" i="5" s="1"/>
  <c r="E156" i="12" l="1"/>
  <c r="D63" i="10"/>
  <c r="F62" i="10"/>
  <c r="H62" i="10"/>
  <c r="F156" i="12"/>
  <c r="D169" i="12"/>
  <c r="D145" i="12"/>
  <c r="D157" i="12"/>
  <c r="E144" i="12"/>
  <c r="G144" i="12" s="1"/>
  <c r="E151" i="12"/>
  <c r="K60" i="5"/>
  <c r="N60" i="5" s="1"/>
  <c r="M60" i="5" s="1"/>
  <c r="D56" i="10"/>
  <c r="F56" i="10"/>
  <c r="J56" i="10"/>
  <c r="L59" i="5"/>
  <c r="E145" i="12" s="1"/>
  <c r="H144" i="12" a="1"/>
  <c r="H144" i="12" l="1"/>
  <c r="I144" i="12" s="1"/>
  <c r="F157" i="12"/>
  <c r="J63" i="10"/>
  <c r="F63" i="10"/>
  <c r="H63" i="10"/>
  <c r="L63" i="10" s="1"/>
  <c r="J67" i="5"/>
  <c r="D72" i="10"/>
  <c r="E8" i="2"/>
  <c r="F163" i="12"/>
  <c r="L60" i="5"/>
  <c r="E146" i="12" s="1"/>
  <c r="F158" i="12"/>
  <c r="D146" i="12"/>
  <c r="D158" i="12"/>
  <c r="D170" i="12"/>
  <c r="D64" i="10"/>
  <c r="F64" i="10"/>
  <c r="E157" i="12"/>
  <c r="H64" i="10"/>
  <c r="J64" i="10"/>
  <c r="K61" i="5"/>
  <c r="N61" i="5" s="1"/>
  <c r="M61" i="5" s="1"/>
  <c r="E163" i="12"/>
  <c r="T70" i="5"/>
  <c r="T71" i="5"/>
  <c r="T72" i="5"/>
  <c r="T73" i="5"/>
  <c r="T74" i="5"/>
  <c r="M45" i="5"/>
  <c r="F132" i="12" s="1"/>
  <c r="G132" i="12" s="1"/>
  <c r="K46" i="5"/>
  <c r="K47" i="5"/>
  <c r="K49" i="5"/>
  <c r="K50" i="5"/>
  <c r="K51" i="5"/>
  <c r="K52" i="5"/>
  <c r="H132" i="12" a="1"/>
  <c r="H132" i="12" l="1"/>
  <c r="I132" i="12" s="1"/>
  <c r="D53" i="10"/>
  <c r="D171" i="12"/>
  <c r="D159" i="12"/>
  <c r="D147" i="12"/>
  <c r="F159" i="12"/>
  <c r="L64" i="10"/>
  <c r="K62" i="5"/>
  <c r="N62" i="5" s="1"/>
  <c r="M62" i="5" s="1"/>
  <c r="L61" i="5"/>
  <c r="E147" i="12" s="1"/>
  <c r="J65" i="10"/>
  <c r="E158" i="12"/>
  <c r="H65" i="10"/>
  <c r="F65" i="10"/>
  <c r="D65" i="10"/>
  <c r="F58" i="10"/>
  <c r="J58" i="10"/>
  <c r="D58" i="10"/>
  <c r="D57" i="10"/>
  <c r="F57" i="10"/>
  <c r="J57" i="10"/>
  <c r="J59" i="10"/>
  <c r="F59" i="10"/>
  <c r="D59" i="10"/>
  <c r="D55" i="10"/>
  <c r="F55" i="10"/>
  <c r="J55" i="10"/>
  <c r="J54" i="10"/>
  <c r="F54" i="10"/>
  <c r="D54" i="10"/>
  <c r="D60" i="10"/>
  <c r="J60" i="10"/>
  <c r="F60" i="10"/>
  <c r="K36" i="5"/>
  <c r="H44" i="10" s="1"/>
  <c r="F66" i="10" l="1"/>
  <c r="F160" i="12"/>
  <c r="D160" i="12"/>
  <c r="D148" i="12"/>
  <c r="D172" i="12"/>
  <c r="L65" i="10"/>
  <c r="E159" i="12"/>
  <c r="J66" i="10"/>
  <c r="D66" i="10"/>
  <c r="H66" i="10"/>
  <c r="K63" i="5"/>
  <c r="N63" i="5" s="1"/>
  <c r="M63" i="5" s="1"/>
  <c r="L62" i="5"/>
  <c r="E148" i="12" s="1"/>
  <c r="J44" i="10"/>
  <c r="D44" i="10"/>
  <c r="F44" i="10"/>
  <c r="M33" i="5"/>
  <c r="K33" i="5"/>
  <c r="D41" i="10" s="1"/>
  <c r="D173" i="12" l="1"/>
  <c r="D149" i="12"/>
  <c r="D161" i="12"/>
  <c r="F161" i="12"/>
  <c r="H41" i="10"/>
  <c r="L41" i="10" s="1"/>
  <c r="F21" i="12"/>
  <c r="H21" i="12" s="1"/>
  <c r="K64" i="5"/>
  <c r="N64" i="5" s="1"/>
  <c r="M64" i="5" s="1"/>
  <c r="L63" i="5"/>
  <c r="E149" i="12" s="1"/>
  <c r="E160" i="12"/>
  <c r="D67" i="10"/>
  <c r="H67" i="10"/>
  <c r="J67" i="10"/>
  <c r="F67" i="10"/>
  <c r="L66" i="10"/>
  <c r="L44" i="10"/>
  <c r="W87" i="5"/>
  <c r="W99" i="5"/>
  <c r="W100" i="5"/>
  <c r="W101" i="5"/>
  <c r="W102" i="5"/>
  <c r="W103" i="5"/>
  <c r="W104" i="5"/>
  <c r="W105" i="5"/>
  <c r="W86" i="5"/>
  <c r="I21" i="12" a="1"/>
  <c r="I21" i="12" l="1"/>
  <c r="J21" i="12" s="1"/>
  <c r="D150" i="12"/>
  <c r="D162" i="12"/>
  <c r="D174" i="12"/>
  <c r="F162" i="12"/>
  <c r="L67" i="10"/>
  <c r="E161" i="12"/>
  <c r="F68" i="10"/>
  <c r="H68" i="10"/>
  <c r="J68" i="10"/>
  <c r="D68" i="10"/>
  <c r="L64" i="5"/>
  <c r="F71" i="10" s="1"/>
  <c r="W106" i="5"/>
  <c r="L76" i="5"/>
  <c r="L78" i="5"/>
  <c r="L77" i="5"/>
  <c r="K77" i="5"/>
  <c r="E150" i="12" l="1"/>
  <c r="J72" i="10"/>
  <c r="F72" i="10"/>
  <c r="D71" i="10"/>
  <c r="H72" i="10"/>
  <c r="L72" i="10" s="1"/>
  <c r="H71" i="10"/>
  <c r="J71" i="10"/>
  <c r="H70" i="10"/>
  <c r="J70" i="10"/>
  <c r="F70" i="10"/>
  <c r="D70" i="10"/>
  <c r="E162" i="12"/>
  <c r="D69" i="10"/>
  <c r="H69" i="10"/>
  <c r="F69" i="10"/>
  <c r="J69" i="10"/>
  <c r="L68" i="10"/>
  <c r="N77" i="5"/>
  <c r="L79" i="5"/>
  <c r="K41" i="5"/>
  <c r="L71" i="10" l="1"/>
  <c r="L70" i="10"/>
  <c r="L69" i="10"/>
  <c r="D49" i="10"/>
  <c r="F49" i="10"/>
  <c r="J49" i="10"/>
  <c r="H49" i="10"/>
  <c r="M34" i="5"/>
  <c r="K34" i="5"/>
  <c r="D42" i="10" s="1"/>
  <c r="K35" i="5"/>
  <c r="K37" i="5"/>
  <c r="K38" i="5"/>
  <c r="K39" i="5"/>
  <c r="K40" i="5"/>
  <c r="H42" i="10" l="1"/>
  <c r="L42" i="10" s="1"/>
  <c r="F22" i="12"/>
  <c r="D43" i="10"/>
  <c r="F43" i="10"/>
  <c r="J43" i="10"/>
  <c r="H43" i="10"/>
  <c r="F47" i="10"/>
  <c r="J47" i="10"/>
  <c r="D47" i="10"/>
  <c r="H47" i="10"/>
  <c r="J45" i="10"/>
  <c r="D45" i="10"/>
  <c r="F45" i="10"/>
  <c r="H45" i="10"/>
  <c r="D48" i="10"/>
  <c r="F48" i="10"/>
  <c r="J48" i="10"/>
  <c r="H48" i="10"/>
  <c r="F46" i="10"/>
  <c r="J46" i="10"/>
  <c r="D46" i="10"/>
  <c r="H46" i="10"/>
  <c r="L49" i="10"/>
  <c r="K76" i="5"/>
  <c r="N76" i="5" s="1"/>
  <c r="H22" i="12" l="1"/>
  <c r="L48" i="10"/>
  <c r="L47" i="10"/>
  <c r="L43" i="10"/>
  <c r="L46" i="10"/>
  <c r="L45" i="10"/>
  <c r="K81" i="5"/>
  <c r="N81" i="5" s="1"/>
  <c r="K78" i="5"/>
  <c r="I22" i="12" a="1"/>
  <c r="I22" i="12" l="1"/>
  <c r="J22" i="12" s="1"/>
  <c r="K79" i="5"/>
  <c r="N79" i="5" s="1"/>
  <c r="N78" i="5"/>
  <c r="O3" i="9" l="1"/>
  <c r="N3" i="9"/>
  <c r="M3" i="9"/>
  <c r="L3" i="9"/>
  <c r="K3" i="9"/>
  <c r="J3" i="9"/>
  <c r="I3" i="9"/>
  <c r="H3" i="9"/>
  <c r="G3" i="9"/>
  <c r="F3" i="9"/>
  <c r="E3" i="9"/>
  <c r="D3" i="9"/>
  <c r="B3" i="9"/>
  <c r="D25" i="2" l="1"/>
  <c r="D26" i="2"/>
  <c r="D27" i="2"/>
  <c r="D29" i="2"/>
  <c r="D28" i="2"/>
  <c r="E15" i="2" s="1"/>
  <c r="E13" i="2" l="1"/>
  <c r="E14" i="2"/>
  <c r="E16" i="2"/>
  <c r="E7" i="2"/>
  <c r="E20" i="2" l="1"/>
  <c r="E12" i="2"/>
  <c r="E11" i="2"/>
  <c r="E17" i="2" s="1"/>
  <c r="E18" i="2" l="1"/>
  <c r="E21" i="2"/>
  <c r="E6" i="2"/>
  <c r="O16" i="5"/>
  <c r="J7" i="12" s="1"/>
  <c r="K7" i="12" l="1"/>
  <c r="L7" i="12" s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5" i="2"/>
  <c r="E19" i="2"/>
  <c r="E10" i="2"/>
  <c r="E9" i="2"/>
  <c r="H87" i="12" l="1"/>
  <c r="F87" i="12"/>
  <c r="E87" i="12"/>
  <c r="H52" i="10"/>
  <c r="I87" i="12" a="1"/>
  <c r="I87" i="12" l="1"/>
  <c r="J87" i="12" s="1"/>
  <c r="H88" i="12"/>
  <c r="H90" i="12"/>
  <c r="H89" i="12"/>
  <c r="D52" i="10"/>
  <c r="L52" i="10" s="1"/>
  <c r="D76" i="12"/>
  <c r="E76" i="12" s="1"/>
  <c r="L45" i="5"/>
  <c r="M53" i="5" s="1"/>
  <c r="D131" i="12"/>
  <c r="D109" i="12"/>
  <c r="D87" i="12"/>
  <c r="D120" i="12"/>
  <c r="D98" i="12"/>
  <c r="I89" i="12" a="1"/>
  <c r="I90" i="12" a="1"/>
  <c r="I88" i="12" a="1"/>
  <c r="I89" i="12" l="1"/>
  <c r="J89" i="12" s="1"/>
  <c r="I90" i="12"/>
  <c r="J90" i="12" s="1"/>
  <c r="I88" i="12"/>
  <c r="J88" i="12" s="1"/>
  <c r="E88" i="12"/>
  <c r="M46" i="5"/>
  <c r="F133" i="12" s="1"/>
  <c r="F88" i="12"/>
  <c r="H53" i="10"/>
  <c r="L53" i="10" s="1"/>
  <c r="F89" i="12" l="1"/>
  <c r="L46" i="5"/>
  <c r="M47" i="5" l="1"/>
  <c r="F134" i="12" s="1"/>
  <c r="E89" i="12"/>
  <c r="F90" i="12" l="1"/>
  <c r="L47" i="5"/>
  <c r="M48" i="5" l="1"/>
  <c r="F135" i="12" s="1"/>
  <c r="E90" i="12"/>
  <c r="F91" i="12" l="1"/>
  <c r="L48" i="5"/>
  <c r="E91" i="12" l="1"/>
  <c r="M49" i="5"/>
  <c r="F136" i="12" s="1"/>
  <c r="L49" i="5" l="1"/>
  <c r="F92" i="12"/>
  <c r="E92" i="12" l="1"/>
  <c r="M50" i="5"/>
  <c r="F137" i="12" s="1"/>
  <c r="L50" i="5" l="1"/>
  <c r="F93" i="12"/>
  <c r="M51" i="5" l="1"/>
  <c r="F138" i="12" s="1"/>
  <c r="E93" i="12"/>
  <c r="F94" i="12" l="1"/>
  <c r="L51" i="5"/>
  <c r="M52" i="5" l="1"/>
  <c r="E94" i="12"/>
  <c r="H54" i="10" l="1"/>
  <c r="L54" i="10" s="1"/>
  <c r="F139" i="12"/>
  <c r="H55" i="10"/>
  <c r="L55" i="10" s="1"/>
  <c r="H56" i="10"/>
  <c r="L56" i="10" s="1"/>
  <c r="H57" i="10"/>
  <c r="L57" i="10" s="1"/>
  <c r="H58" i="10"/>
  <c r="L58" i="10" s="1"/>
  <c r="H59" i="10"/>
  <c r="L59" i="10" s="1"/>
  <c r="H60" i="10"/>
  <c r="L60" i="10" s="1"/>
  <c r="F95" i="12"/>
  <c r="C180" i="12" l="1"/>
  <c r="C181" i="12"/>
  <c r="C182" i="1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<sst xmlns="http://schemas.openxmlformats.org/spreadsheetml/2006/main" count="632" uniqueCount="423">
  <si>
    <t>單位</t>
    <phoneticPr fontId="1" type="noConversion"/>
  </si>
  <si>
    <t>描述</t>
    <phoneticPr fontId="1" type="noConversion"/>
  </si>
  <si>
    <t>數值</t>
    <phoneticPr fontId="1" type="noConversion"/>
  </si>
  <si>
    <t>馬達型態</t>
    <phoneticPr fontId="1" type="noConversion"/>
  </si>
  <si>
    <t>--</t>
    <phoneticPr fontId="1" type="noConversion"/>
  </si>
  <si>
    <t>馬達極數</t>
    <phoneticPr fontId="1" type="noConversion"/>
  </si>
  <si>
    <t>馬達額定扭矩</t>
    <phoneticPr fontId="1" type="noConversion"/>
  </si>
  <si>
    <t>0.1N-m</t>
    <phoneticPr fontId="1" type="noConversion"/>
  </si>
  <si>
    <t>馬達最大扭矩</t>
    <phoneticPr fontId="1" type="noConversion"/>
  </si>
  <si>
    <t>0.1%</t>
    <phoneticPr fontId="1" type="noConversion"/>
  </si>
  <si>
    <t>馬達額定轉速</t>
    <phoneticPr fontId="1" type="noConversion"/>
  </si>
  <si>
    <t>rev/min</t>
    <phoneticPr fontId="1" type="noConversion"/>
  </si>
  <si>
    <t>馬達最高轉速</t>
    <phoneticPr fontId="1" type="noConversion"/>
  </si>
  <si>
    <t>馬達額定電流</t>
    <phoneticPr fontId="1" type="noConversion"/>
  </si>
  <si>
    <t>0.1Arms</t>
    <phoneticPr fontId="1" type="noConversion"/>
  </si>
  <si>
    <t>感應電機額定電壓</t>
    <phoneticPr fontId="1" type="noConversion"/>
  </si>
  <si>
    <t>0.1Vrms</t>
    <phoneticPr fontId="1" type="noConversion"/>
  </si>
  <si>
    <t>電機激磁軸感抗</t>
    <phoneticPr fontId="1" type="noConversion"/>
  </si>
  <si>
    <t>0.001mH</t>
    <phoneticPr fontId="1" type="noConversion"/>
  </si>
  <si>
    <t>電機扭力軸感抗</t>
    <phoneticPr fontId="1" type="noConversion"/>
  </si>
  <si>
    <t>電機阻抗</t>
    <phoneticPr fontId="1" type="noConversion"/>
  </si>
  <si>
    <t>0.001Ohm</t>
    <phoneticPr fontId="1" type="noConversion"/>
  </si>
  <si>
    <t>感應電機漏感比</t>
    <phoneticPr fontId="1" type="noConversion"/>
  </si>
  <si>
    <t>感應電機激磁電流</t>
    <phoneticPr fontId="1" type="noConversion"/>
  </si>
  <si>
    <t>感應電機轉子時間常數</t>
    <phoneticPr fontId="1" type="noConversion"/>
  </si>
  <si>
    <t>0.1ms</t>
    <phoneticPr fontId="1" type="noConversion"/>
  </si>
  <si>
    <t>轉子慣量</t>
    <phoneticPr fontId="1" type="noConversion"/>
  </si>
  <si>
    <t>g-cm2</t>
    <phoneticPr fontId="1" type="noConversion"/>
  </si>
  <si>
    <t>電流迴路積分時間常數</t>
    <phoneticPr fontId="1" type="noConversion"/>
  </si>
  <si>
    <t>0.01ms</t>
    <phoneticPr fontId="1" type="noConversion"/>
  </si>
  <si>
    <t>s</t>
    <phoneticPr fontId="1" type="noConversion"/>
  </si>
  <si>
    <t>過負載150%運轉時間</t>
    <phoneticPr fontId="1" type="noConversion"/>
  </si>
  <si>
    <t>1-Lm^2/(Lm+L1)/(Lm+L2)</t>
    <phoneticPr fontId="1" type="noConversion"/>
  </si>
  <si>
    <t>激磁電流/額定電流</t>
    <phoneticPr fontId="1" type="noConversion"/>
  </si>
  <si>
    <t>轉換新代驅動器參數</t>
    <phoneticPr fontId="1" type="noConversion"/>
  </si>
  <si>
    <t>此頁面為自動計算請勿修改</t>
    <phoneticPr fontId="1" type="noConversion"/>
  </si>
  <si>
    <t>測試類型</t>
    <phoneticPr fontId="1" type="noConversion"/>
  </si>
  <si>
    <t>步驟</t>
    <phoneticPr fontId="1" type="noConversion"/>
  </si>
  <si>
    <t>測試項目</t>
    <phoneticPr fontId="1" type="noConversion"/>
  </si>
  <si>
    <t>測試方式</t>
    <phoneticPr fontId="1" type="noConversion"/>
  </si>
  <si>
    <t>測試結果</t>
    <phoneticPr fontId="1" type="noConversion"/>
  </si>
  <si>
    <t>上電前</t>
  </si>
  <si>
    <t>繞組電阻測試</t>
  </si>
  <si>
    <t>繞組耐壓測試</t>
  </si>
  <si>
    <t>匝間絕緣測試</t>
  </si>
  <si>
    <t>外型圖檢驗</t>
  </si>
  <si>
    <t>軸偏擺檢驗</t>
  </si>
  <si>
    <t>動平衡檢驗</t>
  </si>
  <si>
    <t>使用低阻計量測U-V，V-W，U-W線電阻</t>
  </si>
  <si>
    <t>使用耐壓測試儀，同時測試三相繞組對殼之間漏電流</t>
  </si>
  <si>
    <t>U - V</t>
  </si>
  <si>
    <t>V - W</t>
  </si>
  <si>
    <t>U - W</t>
  </si>
  <si>
    <t>確認電機安裝外型尺寸與外型圖相符</t>
  </si>
  <si>
    <t>以千分表量測電機軸心末端偏擺量</t>
  </si>
  <si>
    <t>紀錄轉子動平衡檢測數值</t>
  </si>
  <si>
    <t>上電後</t>
    <phoneticPr fontId="1" type="noConversion"/>
  </si>
  <si>
    <t>功因</t>
  </si>
  <si>
    <t>代號</t>
  </si>
  <si>
    <t>名稱</t>
  </si>
  <si>
    <t>R1</t>
  </si>
  <si>
    <t>定子電阻</t>
  </si>
  <si>
    <t>stator resistance</t>
  </si>
  <si>
    <t>Ω</t>
  </si>
  <si>
    <t>R2</t>
  </si>
  <si>
    <t>rotor resistance</t>
  </si>
  <si>
    <t>X1</t>
  </si>
  <si>
    <t>定子漏電感抗</t>
  </si>
  <si>
    <t>stator leakage reactance</t>
  </si>
  <si>
    <t>X2</t>
  </si>
  <si>
    <t>轉子漏電感抗</t>
  </si>
  <si>
    <t>rotor leakage reactance</t>
  </si>
  <si>
    <t>激磁感抗</t>
  </si>
  <si>
    <t>Magnetization reactance</t>
  </si>
  <si>
    <t>量測數值</t>
    <phoneticPr fontId="1" type="noConversion"/>
  </si>
  <si>
    <t>規格書(設計值)</t>
    <phoneticPr fontId="1" type="noConversion"/>
  </si>
  <si>
    <t>繞組絕緣阻抗測試</t>
    <phoneticPr fontId="1" type="noConversion"/>
  </si>
  <si>
    <t>合格標準
(請電機廠提供標準)</t>
    <phoneticPr fontId="1" type="noConversion"/>
  </si>
  <si>
    <t>參數來源</t>
    <phoneticPr fontId="1" type="noConversion"/>
  </si>
  <si>
    <t>馬達型號</t>
    <phoneticPr fontId="1" type="noConversion"/>
  </si>
  <si>
    <t>電壓(Vrms)</t>
    <phoneticPr fontId="1" type="noConversion"/>
  </si>
  <si>
    <t>額定轉速(rpm)</t>
    <phoneticPr fontId="1" type="noConversion"/>
  </si>
  <si>
    <t>額定功率(kW)</t>
    <phoneticPr fontId="1" type="noConversion"/>
  </si>
  <si>
    <t>額定扭矩(Nm)</t>
    <phoneticPr fontId="1" type="noConversion"/>
  </si>
  <si>
    <t>額定電流(A)</t>
    <phoneticPr fontId="1" type="noConversion"/>
  </si>
  <si>
    <t>最大轉速(rpm)</t>
    <phoneticPr fontId="1" type="noConversion"/>
  </si>
  <si>
    <t>弱磁轉速(rpm)</t>
    <phoneticPr fontId="1" type="noConversion"/>
  </si>
  <si>
    <t>最大扭矩Mmax(Nm)</t>
    <phoneticPr fontId="1" type="noConversion"/>
  </si>
  <si>
    <t>最大電流Imax(A)</t>
    <phoneticPr fontId="1" type="noConversion"/>
  </si>
  <si>
    <t>啟動扭矩Mo(Nm)</t>
    <phoneticPr fontId="1" type="noConversion"/>
  </si>
  <si>
    <t>啟動電流Io(A)</t>
    <phoneticPr fontId="1" type="noConversion"/>
  </si>
  <si>
    <t>電機運轉操作型態</t>
    <phoneticPr fontId="1" type="noConversion"/>
  </si>
  <si>
    <t>實驗環溫(°C)</t>
    <phoneticPr fontId="1" type="noConversion"/>
  </si>
  <si>
    <t>連續工作制(S1)</t>
    <phoneticPr fontId="1" type="noConversion"/>
  </si>
  <si>
    <t>超載比率</t>
    <phoneticPr fontId="1" type="noConversion"/>
  </si>
  <si>
    <t>實驗環溫要求:-15°C to 40°C</t>
    <phoneticPr fontId="1" type="noConversion"/>
  </si>
  <si>
    <t>海拔高度(m)</t>
    <phoneticPr fontId="1" type="noConversion"/>
  </si>
  <si>
    <t>環境溫度(°C)</t>
    <phoneticPr fontId="1" type="noConversion"/>
  </si>
  <si>
    <t>水冷進水口溫度降額表</t>
    <phoneticPr fontId="1" type="noConversion"/>
  </si>
  <si>
    <t>水冷進水口流速表</t>
    <phoneticPr fontId="1" type="noConversion"/>
  </si>
  <si>
    <t>溫升測試
(此項參數已連結，由連結表格輸入)</t>
    <phoneticPr fontId="1" type="noConversion"/>
  </si>
  <si>
    <t>測試電壓(V)</t>
    <phoneticPr fontId="1" type="noConversion"/>
  </si>
  <si>
    <t>測試時間(s)</t>
    <phoneticPr fontId="1" type="noConversion"/>
  </si>
  <si>
    <t>三相繞組對殼之間絕緣阻抗(Ohm)</t>
    <phoneticPr fontId="1" type="noConversion"/>
  </si>
  <si>
    <t>三相繞組與機殼間漏電流(mA)</t>
    <phoneticPr fontId="1" type="noConversion"/>
  </si>
  <si>
    <t>波型差異(%)</t>
    <phoneticPr fontId="1" type="noConversion"/>
  </si>
  <si>
    <t>量測轉速(RPM)</t>
    <phoneticPr fontId="1" type="noConversion"/>
  </si>
  <si>
    <t>效率(%)</t>
    <phoneticPr fontId="1" type="noConversion"/>
  </si>
  <si>
    <t>量測轉矩(Nm)</t>
    <phoneticPr fontId="1" type="noConversion"/>
  </si>
  <si>
    <t>Pn</t>
    <phoneticPr fontId="1" type="noConversion"/>
  </si>
  <si>
    <t>70A</t>
    <phoneticPr fontId="1" type="noConversion"/>
  </si>
  <si>
    <t>70C</t>
    <phoneticPr fontId="1" type="noConversion"/>
  </si>
  <si>
    <t>70E</t>
    <phoneticPr fontId="1" type="noConversion"/>
  </si>
  <si>
    <t>71A</t>
    <phoneticPr fontId="1" type="noConversion"/>
  </si>
  <si>
    <t>71C</t>
    <phoneticPr fontId="1" type="noConversion"/>
  </si>
  <si>
    <t>71E</t>
    <phoneticPr fontId="1" type="noConversion"/>
  </si>
  <si>
    <t>72A</t>
    <phoneticPr fontId="1" type="noConversion"/>
  </si>
  <si>
    <t>電機極數(Poles)</t>
    <phoneticPr fontId="1" type="noConversion"/>
  </si>
  <si>
    <t>Index</t>
    <phoneticPr fontId="1" type="noConversion"/>
  </si>
  <si>
    <t>150%過負載運轉時間(s)</t>
    <phoneticPr fontId="1" type="noConversion"/>
  </si>
  <si>
    <t>額定頻率(Hz)</t>
    <phoneticPr fontId="1" type="noConversion"/>
  </si>
  <si>
    <t>轉子慣量(kgm2)</t>
    <phoneticPr fontId="1" type="noConversion"/>
  </si>
  <si>
    <t>電機輸入功率(kW)</t>
    <phoneticPr fontId="1" type="noConversion"/>
  </si>
  <si>
    <t>電機輸出功率(kW)</t>
    <phoneticPr fontId="1" type="noConversion"/>
  </si>
  <si>
    <t>綠底為電機規格</t>
    <phoneticPr fontId="1" type="noConversion"/>
  </si>
  <si>
    <t>黃底為量測結果</t>
    <phoneticPr fontId="1" type="noConversion"/>
  </si>
  <si>
    <t>提供等校參數
(實測值)</t>
    <phoneticPr fontId="1" type="noConversion"/>
  </si>
  <si>
    <t>誤差</t>
    <phoneticPr fontId="1" type="noConversion"/>
  </si>
  <si>
    <t>設計值</t>
    <phoneticPr fontId="1" type="noConversion"/>
  </si>
  <si>
    <t>測試結果</t>
    <phoneticPr fontId="1" type="noConversion"/>
  </si>
  <si>
    <t>Lm</t>
    <phoneticPr fontId="1" type="noConversion"/>
  </si>
  <si>
    <t>L1</t>
    <phoneticPr fontId="1" type="noConversion"/>
  </si>
  <si>
    <t>L2</t>
    <phoneticPr fontId="1" type="noConversion"/>
  </si>
  <si>
    <t>Lm+L1</t>
    <phoneticPr fontId="1" type="noConversion"/>
  </si>
  <si>
    <t>R1</t>
    <phoneticPr fontId="1" type="noConversion"/>
  </si>
  <si>
    <t>額定電流(Arms)</t>
    <phoneticPr fontId="1" type="noConversion"/>
  </si>
  <si>
    <t>R1</t>
    <phoneticPr fontId="1" type="noConversion"/>
  </si>
  <si>
    <t>R2</t>
    <phoneticPr fontId="1" type="noConversion"/>
  </si>
  <si>
    <t>mH</t>
    <phoneticPr fontId="1" type="noConversion"/>
  </si>
  <si>
    <t>ohm</t>
    <phoneticPr fontId="1" type="noConversion"/>
  </si>
  <si>
    <t>sigma*Ls/R1</t>
    <phoneticPr fontId="1" type="noConversion"/>
  </si>
  <si>
    <t>Xm</t>
    <phoneticPr fontId="1" type="noConversion"/>
  </si>
  <si>
    <t>達穩態或110°C的時間(min)</t>
    <phoneticPr fontId="1" type="noConversion"/>
  </si>
  <si>
    <r>
      <t>Ru-v(</t>
    </r>
    <r>
      <rPr>
        <sz val="12"/>
        <color theme="1"/>
        <rFont val="Calibri"/>
        <family val="2"/>
        <charset val="161"/>
      </rPr>
      <t>Ω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</si>
  <si>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r>
      <t>Rv-w(</t>
    </r>
    <r>
      <rPr>
        <sz val="12"/>
        <color theme="1"/>
        <rFont val="Calibri"/>
        <family val="2"/>
        <charset val="161"/>
      </rPr>
      <t>Ω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</si>
  <si>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r>
      <t>Ru-w(</t>
    </r>
    <r>
      <rPr>
        <sz val="12"/>
        <color theme="1"/>
        <rFont val="Calibri"/>
        <family val="2"/>
        <charset val="161"/>
      </rPr>
      <t>Ω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</si>
  <si>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r>
      <t>Ravg (</t>
    </r>
    <r>
      <rPr>
        <sz val="12"/>
        <color theme="1"/>
        <rFont val="Calibri"/>
        <family val="2"/>
        <charset val="161"/>
      </rPr>
      <t>Ω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</si>
  <si>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t>最高轉速</t>
    <phoneticPr fontId="1" type="noConversion"/>
  </si>
  <si>
    <t>轉矩設定(%)</t>
    <phoneticPr fontId="1" type="noConversion"/>
  </si>
  <si>
    <t>編碼器溫度(°C)</t>
    <phoneticPr fontId="1" type="noConversion"/>
  </si>
  <si>
    <t>外殼溫度(°C)</t>
    <phoneticPr fontId="1" type="noConversion"/>
  </si>
  <si>
    <t>空載額定轉速操作</t>
    <phoneticPr fontId="1" type="noConversion"/>
  </si>
  <si>
    <t>空載最大轉速操作</t>
    <phoneticPr fontId="1" type="noConversion"/>
  </si>
  <si>
    <t>實驗環溫
(°C)</t>
    <phoneticPr fontId="1" type="noConversion"/>
  </si>
  <si>
    <t>編碼器溫度
(°C)</t>
    <phoneticPr fontId="1" type="noConversion"/>
  </si>
  <si>
    <t>外殼溫度
(°C)</t>
    <phoneticPr fontId="1" type="noConversion"/>
  </si>
  <si>
    <t>達穩態或110°C的時間
(min)</t>
    <phoneticPr fontId="1" type="noConversion"/>
  </si>
  <si>
    <t>備註/說明
(例：測試方式、量測儀器…等)</t>
    <phoneticPr fontId="1" type="noConversion"/>
  </si>
  <si>
    <t>前軸承溫度(°C)</t>
    <phoneticPr fontId="1" type="noConversion"/>
  </si>
  <si>
    <t>後軸承溫度(°C)</t>
    <phoneticPr fontId="1" type="noConversion"/>
  </si>
  <si>
    <t>前軸承溫度
(°C)</t>
    <phoneticPr fontId="1" type="noConversion"/>
  </si>
  <si>
    <t>後軸承溫度
(°C)</t>
    <phoneticPr fontId="1" type="noConversion"/>
  </si>
  <si>
    <t>測試條件(空/水/油冷)</t>
    <phoneticPr fontId="1" type="noConversion"/>
  </si>
  <si>
    <t>線圈溫度(°C)</t>
    <phoneticPr fontId="1" type="noConversion"/>
  </si>
  <si>
    <t>測試條件
(空/水/油冷)</t>
    <phoneticPr fontId="1" type="noConversion"/>
  </si>
  <si>
    <t>線圈溫度
(°C)</t>
    <phoneticPr fontId="1" type="noConversion"/>
  </si>
  <si>
    <t>使用耐壓測試儀，測試各相線圈間衰減震盪波型差異。</t>
    <phoneticPr fontId="1" type="noConversion"/>
  </si>
  <si>
    <t>半成品</t>
    <phoneticPr fontId="1" type="noConversion"/>
  </si>
  <si>
    <t>振動等級測試</t>
    <phoneticPr fontId="1" type="noConversion"/>
  </si>
  <si>
    <t>轉速(RPM)</t>
    <phoneticPr fontId="1" type="noConversion"/>
  </si>
  <si>
    <r>
      <t>電機前端水平(</t>
    </r>
    <r>
      <rPr>
        <sz val="12"/>
        <color theme="1"/>
        <rFont val="Calibri"/>
        <family val="2"/>
        <charset val="161"/>
      </rPr>
      <t>μ</t>
    </r>
    <r>
      <rPr>
        <sz val="12"/>
        <color theme="1"/>
        <rFont val="新細明體"/>
        <family val="2"/>
        <charset val="136"/>
        <scheme val="minor"/>
      </rPr>
      <t>m)</t>
    </r>
    <phoneticPr fontId="1" type="noConversion"/>
  </si>
  <si>
    <r>
      <t>電機尾端水平(</t>
    </r>
    <r>
      <rPr>
        <sz val="12"/>
        <color theme="1"/>
        <rFont val="Calibri"/>
        <family val="2"/>
        <charset val="161"/>
      </rPr>
      <t>μ</t>
    </r>
    <r>
      <rPr>
        <sz val="12"/>
        <color theme="1"/>
        <rFont val="新細明體"/>
        <family val="2"/>
        <charset val="136"/>
        <scheme val="minor"/>
      </rPr>
      <t>m)</t>
    </r>
    <phoneticPr fontId="1" type="noConversion"/>
  </si>
  <si>
    <r>
      <t>電機尾端垂直(</t>
    </r>
    <r>
      <rPr>
        <sz val="12"/>
        <color theme="1"/>
        <rFont val="Calibri"/>
        <family val="2"/>
        <charset val="161"/>
      </rPr>
      <t>μ</t>
    </r>
    <r>
      <rPr>
        <sz val="12"/>
        <color theme="1"/>
        <rFont val="新細明體"/>
        <family val="2"/>
        <charset val="136"/>
        <scheme val="minor"/>
      </rPr>
      <t>m)</t>
    </r>
    <phoneticPr fontId="1" type="noConversion"/>
  </si>
  <si>
    <t>最大值</t>
    <phoneticPr fontId="1" type="noConversion"/>
  </si>
  <si>
    <t>各轉速最大值</t>
    <phoneticPr fontId="1" type="noConversion"/>
  </si>
  <si>
    <t>接線方式</t>
    <phoneticPr fontId="1" type="noConversion"/>
  </si>
  <si>
    <t>接線方式</t>
    <phoneticPr fontId="1" type="noConversion"/>
  </si>
  <si>
    <t>轉差率</t>
    <phoneticPr fontId="1" type="noConversion"/>
  </si>
  <si>
    <t>%</t>
    <phoneticPr fontId="1" type="noConversion"/>
  </si>
  <si>
    <t>同步轉速</t>
    <phoneticPr fontId="1" type="noConversion"/>
  </si>
  <si>
    <t>額定轉速</t>
    <phoneticPr fontId="1" type="noConversion"/>
  </si>
  <si>
    <t>上電後</t>
    <phoneticPr fontId="1" type="noConversion"/>
  </si>
  <si>
    <t>轉差率測試</t>
    <phoneticPr fontId="1" type="noConversion"/>
  </si>
  <si>
    <t>測試項目</t>
    <phoneticPr fontId="1" type="noConversion"/>
  </si>
  <si>
    <t>測試結果</t>
    <phoneticPr fontId="1" type="noConversion"/>
  </si>
  <si>
    <t>單位</t>
    <phoneticPr fontId="1" type="noConversion"/>
  </si>
  <si>
    <t>設計值</t>
    <phoneticPr fontId="1" type="noConversion"/>
  </si>
  <si>
    <t>rpm</t>
    <phoneticPr fontId="1" type="noConversion"/>
  </si>
  <si>
    <t>空載環境測試，額定電壓、額定頻率下，量測激磁電流大小</t>
    <phoneticPr fontId="1" type="noConversion"/>
  </si>
  <si>
    <t>激磁電流測試</t>
    <phoneticPr fontId="1" type="noConversion"/>
  </si>
  <si>
    <t>Arms</t>
    <phoneticPr fontId="1" type="noConversion"/>
  </si>
  <si>
    <t>額定電流</t>
    <phoneticPr fontId="1" type="noConversion"/>
  </si>
  <si>
    <t>激磁電流</t>
    <phoneticPr fontId="1" type="noConversion"/>
  </si>
  <si>
    <t>誤差</t>
    <phoneticPr fontId="1" type="noConversion"/>
  </si>
  <si>
    <t>((額定電流^2-激磁電流^2)^1/2)/slip/激磁電流/(pole/2)</t>
    <phoneticPr fontId="1" type="noConversion"/>
  </si>
  <si>
    <t>使用耐壓測試儀，同時測試三相繞組對殼之間絕緣阻抗</t>
  </si>
  <si>
    <t>≦10%</t>
    <phoneticPr fontId="1" type="noConversion"/>
  </si>
  <si>
    <t>±3%</t>
    <phoneticPr fontId="1" type="noConversion"/>
  </si>
  <si>
    <r>
      <t>≧100M</t>
    </r>
    <r>
      <rPr>
        <sz val="12"/>
        <color theme="1"/>
        <rFont val="Calibri"/>
        <family val="2"/>
        <charset val="161"/>
      </rPr>
      <t>Ω</t>
    </r>
    <phoneticPr fontId="1" type="noConversion"/>
  </si>
  <si>
    <t>≦15mA</t>
    <phoneticPr fontId="1" type="noConversion"/>
  </si>
  <si>
    <t>≦0.01mm</t>
    <phoneticPr fontId="1" type="noConversion"/>
  </si>
  <si>
    <t>0.8mm/sec</t>
    <phoneticPr fontId="1" type="noConversion"/>
  </si>
  <si>
    <t>目標轉速(RPM)</t>
    <phoneticPr fontId="1" type="noConversion"/>
  </si>
  <si>
    <t>馬達型態(感應/永磁)</t>
    <phoneticPr fontId="1" type="noConversion"/>
  </si>
  <si>
    <t>同步頻率(Hz)</t>
    <phoneticPr fontId="1" type="noConversion"/>
  </si>
  <si>
    <t>紀錄三角接或是Y接，確認測試時電機接線方式</t>
    <phoneticPr fontId="1" type="noConversion"/>
  </si>
  <si>
    <t>額定負載下，實際轉速須達額定轉速
*此項測試自動連結第12項測試額定點結果，不需填寫</t>
    <phoneticPr fontId="1" type="noConversion"/>
  </si>
  <si>
    <r>
      <t>電機前端軸向(</t>
    </r>
    <r>
      <rPr>
        <sz val="12"/>
        <color theme="1"/>
        <rFont val="Calibri"/>
        <family val="2"/>
        <charset val="161"/>
      </rPr>
      <t>μ</t>
    </r>
    <r>
      <rPr>
        <sz val="12"/>
        <color theme="1"/>
        <rFont val="新細明體"/>
        <family val="2"/>
        <charset val="136"/>
        <scheme val="minor"/>
      </rPr>
      <t>m)</t>
    </r>
    <phoneticPr fontId="1" type="noConversion"/>
  </si>
  <si>
    <r>
      <t>電機尾端軸向(</t>
    </r>
    <r>
      <rPr>
        <sz val="12"/>
        <color theme="1"/>
        <rFont val="Calibri"/>
        <family val="2"/>
        <charset val="161"/>
      </rPr>
      <t>μ</t>
    </r>
    <r>
      <rPr>
        <sz val="12"/>
        <color theme="1"/>
        <rFont val="新細明體"/>
        <family val="2"/>
        <charset val="136"/>
        <scheme val="minor"/>
      </rPr>
      <t>m)</t>
    </r>
    <phoneticPr fontId="1" type="noConversion"/>
  </si>
  <si>
    <t>Version</t>
    <phoneticPr fontId="1" type="noConversion"/>
  </si>
  <si>
    <t>上電後</t>
    <phoneticPr fontId="1" type="noConversion"/>
  </si>
  <si>
    <t>最高轉速</t>
    <phoneticPr fontId="1" type="noConversion"/>
  </si>
  <si>
    <t>上電後</t>
    <phoneticPr fontId="1" type="noConversion"/>
  </si>
  <si>
    <t xml:space="preserve">激磁電流(Arms) </t>
    <phoneticPr fontId="1" type="noConversion"/>
  </si>
  <si>
    <t>S1
100%負載連續使用測試</t>
    <phoneticPr fontId="1" type="noConversion"/>
  </si>
  <si>
    <t>轉矩設定(Nm)
(註1)</t>
    <phoneticPr fontId="1" type="noConversion"/>
  </si>
  <si>
    <t>最高轉速</t>
    <phoneticPr fontId="1" type="noConversion"/>
  </si>
  <si>
    <t>測試項目 ( 填S3 / S6 )</t>
    <phoneticPr fontId="1" type="noConversion"/>
  </si>
  <si>
    <t>目標轉速(%)
(註2)</t>
    <phoneticPr fontId="1" type="noConversion"/>
  </si>
  <si>
    <t>目標轉速(%)
(註3)</t>
    <phoneticPr fontId="1" type="noConversion"/>
  </si>
  <si>
    <t>測試編號
(註4)</t>
    <phoneticPr fontId="1" type="noConversion"/>
  </si>
  <si>
    <t>TN curve</t>
    <phoneticPr fontId="1" type="noConversion"/>
  </si>
  <si>
    <t xml:space="preserve"> </t>
    <phoneticPr fontId="1" type="noConversion"/>
  </si>
  <si>
    <t>電機轉速(RPM) (作圖)</t>
    <phoneticPr fontId="1" type="noConversion"/>
  </si>
  <si>
    <t xml:space="preserve">額定轉速下150%負載運行時間  ( N sec ) </t>
    <phoneticPr fontId="1" type="noConversion"/>
  </si>
  <si>
    <t>連續工作制(S1) (額定轉速)</t>
    <phoneticPr fontId="1" type="noConversion"/>
  </si>
  <si>
    <t>連續工作制(S1) (1500RPM)</t>
    <phoneticPr fontId="1" type="noConversion"/>
  </si>
  <si>
    <t>設定轉矩(Nm) (作圖)</t>
    <phoneticPr fontId="1" type="noConversion"/>
  </si>
  <si>
    <t>量測輸出功率(kW)</t>
    <phoneticPr fontId="1" type="noConversion"/>
  </si>
  <si>
    <t>設定轉矩換算功率(kW)(作圖)</t>
    <phoneticPr fontId="1" type="noConversion"/>
  </si>
  <si>
    <t xml:space="preserve">S1
100%負載連續使用測試
</t>
    <phoneticPr fontId="1" type="noConversion"/>
  </si>
  <si>
    <t xml:space="preserve">S2
短時間使用150%負載測試
[ S2 N min. ]
</t>
    <phoneticPr fontId="1" type="noConversion"/>
  </si>
  <si>
    <t xml:space="preserve">S3 / S6 反覆使用測試
[ S3 / S6 10% 10min. ]
</t>
    <phoneticPr fontId="1" type="noConversion"/>
  </si>
  <si>
    <t>此欄位自動計算請勿修改</t>
    <phoneticPr fontId="1" type="noConversion"/>
  </si>
  <si>
    <t>PN curve</t>
    <phoneticPr fontId="1" type="noConversion"/>
  </si>
  <si>
    <t>透過實驗法實測感應電機的等校電路
確認電機參數與規格的誤差</t>
    <phoneticPr fontId="1" type="noConversion"/>
  </si>
  <si>
    <t>量測轉矩
(Nm)</t>
    <phoneticPr fontId="1" type="noConversion"/>
  </si>
  <si>
    <t xml:space="preserve">達熱平衡前溫度 </t>
    <phoneticPr fontId="1" type="noConversion"/>
  </si>
  <si>
    <t>額定轉速內最大負載率 (%)</t>
    <phoneticPr fontId="1" type="noConversion"/>
  </si>
  <si>
    <t>註2 : 如果最高轉速小於400%額定轉速，則根據實測結果記錄到最高轉速即可。( 未測試轉速請填N/A )</t>
  </si>
  <si>
    <t>註2 : 熱平衡為規定線圈溫度 (參考新代主軸電機溫昇標準)。請填寫於J53，綠底電機規格"150%過負載運轉時間(s)"會由此資訊自動換算。 (啟動溫度需與測試環境差在2°C之內)。</t>
  </si>
  <si>
    <t>註3 : 如果最高轉速小於400%額定轉速，則根據實測結果記錄到最高轉速即可。( 未測試轉速請填N/A )</t>
  </si>
  <si>
    <t xml:space="preserve">註3 : 如果最高轉速小於400%額定轉速，則根據實測結果記錄到最高轉速即可。( 未測試轉速請填N/A ) </t>
  </si>
  <si>
    <t xml:space="preserve">項次10備註 : </t>
    <phoneticPr fontId="1" type="noConversion"/>
  </si>
  <si>
    <t>項次11備註 :</t>
    <phoneticPr fontId="1" type="noConversion"/>
  </si>
  <si>
    <t>項次12備註:</t>
    <phoneticPr fontId="1" type="noConversion"/>
  </si>
  <si>
    <t xml:space="preserve">測試項目一 : 空載測試。
測試項目二 : 額定測試。(S1 連續工作制) </t>
    <phoneticPr fontId="1" type="noConversion"/>
  </si>
  <si>
    <r>
      <t>電機於溫升測試</t>
    </r>
    <r>
      <rPr>
        <sz val="12"/>
        <color rgb="FFFF0000"/>
        <rFont val="新細明體"/>
        <family val="1"/>
        <charset val="136"/>
        <scheme val="minor"/>
      </rPr>
      <t>達熱穩態後後進行T-N與P-N曲線測試</t>
    </r>
    <r>
      <rPr>
        <sz val="12"/>
        <color theme="1"/>
        <rFont val="新細明體"/>
        <family val="2"/>
        <charset val="136"/>
        <scheme val="minor"/>
      </rPr>
      <t xml:space="preserve">。
參考以下紀錄負載T-N與P-N曲線測試數據
初始轉速: 50%額定轉速測試
轉速間隔: 50%額定轉速
最終轉速:電機最高轉速規格
最終扭力: 該轉速對應T-N曲線規格最大扭力
以"量測轉速"等於"目標轉速"的情況下進行測試，加大扭力會增加滑差、使"量測轉速"降低，請再提高轉速命令(同步頻率)，使"量測轉速"等於"目標轉速"，再紀錄測試結果
如果因實驗設備限制，請註明可以實測的轉矩與速度的範圍；並且提供建議的測試操作點。(請電機廠備註使用的驅動器)
無法提供的數據請備註原因, 並填上N/A
</t>
    </r>
    <r>
      <rPr>
        <sz val="12"/>
        <color rgb="FFFF0000"/>
        <rFont val="新細明體"/>
        <family val="1"/>
        <charset val="136"/>
        <scheme val="minor"/>
      </rPr>
      <t>其餘細節參考表格下方備註</t>
    </r>
    <phoneticPr fontId="1" type="noConversion"/>
  </si>
  <si>
    <t>註2 : 熱平衡為規定線圈溫度 (參考新代主軸電機溫昇標準)。</t>
    <phoneticPr fontId="1" type="noConversion"/>
  </si>
  <si>
    <t>額定轉矩(Nm)</t>
    <phoneticPr fontId="1" type="noConversion"/>
  </si>
  <si>
    <t>轉子電阻</t>
    <phoneticPr fontId="1" type="noConversion"/>
  </si>
  <si>
    <t xml:space="preserve">最大轉矩Mmax(Nm) </t>
    <phoneticPr fontId="1" type="noConversion"/>
  </si>
  <si>
    <r>
      <t>最大電流Imax(Arms)</t>
    </r>
    <r>
      <rPr>
        <sz val="12"/>
        <color rgb="FFFF0000"/>
        <rFont val="新細明體"/>
        <family val="2"/>
        <charset val="136"/>
        <scheme val="minor"/>
      </rPr>
      <t xml:space="preserve"> </t>
    </r>
    <phoneticPr fontId="1" type="noConversion"/>
  </si>
  <si>
    <t>額定電壓*(Vrms)</t>
    <phoneticPr fontId="1" type="noConversion"/>
  </si>
  <si>
    <t>電機耐壓**  (Vrms)</t>
    <phoneticPr fontId="1" type="noConversion"/>
  </si>
  <si>
    <t>說明</t>
    <phoneticPr fontId="1" type="noConversion"/>
  </si>
  <si>
    <t>額定電壓*</t>
    <phoneticPr fontId="1" type="noConversion"/>
  </si>
  <si>
    <t>該電機TN曲線設計搭配之電壓。</t>
    <phoneticPr fontId="1" type="noConversion"/>
  </si>
  <si>
    <t>電機耐壓**</t>
    <phoneticPr fontId="1" type="noConversion"/>
  </si>
  <si>
    <t>電機最高可搭配之驅動器電壓等級。(EX: 電機額定電壓設計為220V，但耐壓設計最高可搭配380V驅動，則電機耐壓為380Vrms )</t>
    <phoneticPr fontId="1" type="noConversion"/>
  </si>
  <si>
    <t>其他備註</t>
    <phoneticPr fontId="1" type="noConversion"/>
  </si>
  <si>
    <t>線電壓1
(Vrms)</t>
    <phoneticPr fontId="1" type="noConversion"/>
  </si>
  <si>
    <t>線電壓2
(Vrms)</t>
    <phoneticPr fontId="1" type="noConversion"/>
  </si>
  <si>
    <t>線電壓3
(Vrms)</t>
    <phoneticPr fontId="1" type="noConversion"/>
  </si>
  <si>
    <t>線電流1
(Arms)</t>
    <phoneticPr fontId="1" type="noConversion"/>
  </si>
  <si>
    <t>線電流2
(Arms)</t>
    <phoneticPr fontId="1" type="noConversion"/>
  </si>
  <si>
    <t>線電流3
(Arms)</t>
    <phoneticPr fontId="1" type="noConversion"/>
  </si>
  <si>
    <t>冷卻液進口溫度(°C)</t>
    <phoneticPr fontId="1" type="noConversion"/>
  </si>
  <si>
    <t>冷卻液出口溫度(°C)</t>
  </si>
  <si>
    <t>冷卻能力(kw)</t>
  </si>
  <si>
    <t>冷卻能力(BTU/h)</t>
  </si>
  <si>
    <t>冷卻液流量(L/min)</t>
    <phoneticPr fontId="1" type="noConversion"/>
  </si>
  <si>
    <t>冷卻液實際流量(L/min)</t>
    <phoneticPr fontId="1" type="noConversion"/>
  </si>
  <si>
    <t>冷卻液種類</t>
    <phoneticPr fontId="1" type="noConversion"/>
  </si>
  <si>
    <t>密度(g/cm3)</t>
    <phoneticPr fontId="1" type="noConversion"/>
  </si>
  <si>
    <t>比熱(J/gK)</t>
    <phoneticPr fontId="1" type="noConversion"/>
  </si>
  <si>
    <t>黏度(mm2/s)</t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</si>
  <si>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備註:</t>
    </r>
    <r>
      <rPr>
        <sz val="12"/>
        <color theme="1"/>
        <rFont val="新細明體"/>
        <family val="1"/>
        <charset val="136"/>
        <scheme val="minor"/>
      </rPr>
      <t xml:space="preserve">
1. 若種類為水，則請填入: 密度= 0.98、比熱 = 4.184、黏度 = 0.893
2. 若種類為油或其他冷卻液，請填入對應規格</t>
    </r>
    <phoneticPr fontId="1" type="noConversion"/>
  </si>
  <si>
    <t xml:space="preserve">電機運轉操作型態 </t>
    <phoneticPr fontId="1" type="noConversion"/>
  </si>
  <si>
    <t>冷卻液實際流量
(L/min)</t>
    <phoneticPr fontId="1" type="noConversion"/>
  </si>
  <si>
    <t>冷卻液進口溫度
(°C)</t>
    <phoneticPr fontId="1" type="noConversion"/>
  </si>
  <si>
    <t>冷卻液出口溫度
(°C)</t>
    <phoneticPr fontId="1" type="noConversion"/>
  </si>
  <si>
    <t>冷卻能力
(kw)</t>
    <phoneticPr fontId="1" type="noConversion"/>
  </si>
  <si>
    <t>冷卻能力
(BTU/h)</t>
    <phoneticPr fontId="1" type="noConversion"/>
  </si>
  <si>
    <t>冷卻液設定流量
(L/min)</t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</si>
  <si>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備註:</t>
    </r>
    <r>
      <rPr>
        <sz val="14"/>
        <color rgb="FFFF0000"/>
        <rFont val="新細明體"/>
        <family val="1"/>
        <charset val="136"/>
        <scheme val="minor"/>
      </rPr>
      <t xml:space="preserve">
</t>
    </r>
    <r>
      <rPr>
        <sz val="12"/>
        <rFont val="新細明體"/>
        <family val="1"/>
        <charset val="136"/>
        <scheme val="minor"/>
      </rPr>
      <t>1. 溫度量測點 : 定子線圈繞阻、編碼器、外殼表面、前後軸承溫度、冷卻液進出口水溫(電機側)
2</t>
    </r>
    <r>
      <rPr>
        <sz val="12"/>
        <color theme="1"/>
        <rFont val="新細明體"/>
        <family val="1"/>
        <charset val="136"/>
        <scheme val="minor"/>
      </rPr>
      <t>. 測試條件若為空冷，則從冷卻液流量後的數據免填寫，且各測試條件數據填寫一列即可
3. 實際冷卻流量請填入量測到之數值
4. 冷卻液進口溫度範圍請控制在25~30°C</t>
    </r>
    <phoneticPr fontId="1" type="noConversion"/>
  </si>
  <si>
    <t>冷卻規格(kw / BTU)</t>
    <phoneticPr fontId="1" type="noConversion"/>
  </si>
  <si>
    <t>1. 溫度量測點 : 定子線圈繞阻、編碼器、外殼表面、前後軸承溫度、冷卻液進出口水溫(電機側) 2. 測試條件若為空冷，則冷卻液流量後的數據免填 3. 實際冷卻流量請填入量測到之數值 4. 冷卻液進口溫度範圍請控制在25~30°C</t>
    <phoneticPr fontId="1" type="noConversion"/>
  </si>
  <si>
    <t>轉矩設定(Nm)(註1)</t>
    <phoneticPr fontId="1" type="noConversion"/>
  </si>
  <si>
    <t>步驟</t>
    <phoneticPr fontId="24" type="noConversion"/>
  </si>
  <si>
    <t>測試項目</t>
    <phoneticPr fontId="24" type="noConversion"/>
  </si>
  <si>
    <t>測試方式</t>
    <phoneticPr fontId="24" type="noConversion"/>
  </si>
  <si>
    <t>繞組電阻測試</t>
    <phoneticPr fontId="24" type="noConversion"/>
  </si>
  <si>
    <t>與平均值誤差容許值</t>
    <phoneticPr fontId="24" type="noConversion"/>
  </si>
  <si>
    <t>與平均值誤差(%)</t>
    <phoneticPr fontId="24" type="noConversion"/>
  </si>
  <si>
    <t>是否符合</t>
    <phoneticPr fontId="24" type="noConversion"/>
  </si>
  <si>
    <t>未通過原因</t>
    <phoneticPr fontId="24" type="noConversion"/>
  </si>
  <si>
    <t>與設計值誤差(%)</t>
    <phoneticPr fontId="24" type="noConversion"/>
  </si>
  <si>
    <t>與設計值誤差容許值</t>
    <phoneticPr fontId="24" type="noConversion"/>
  </si>
  <si>
    <t>S1 100%負載連續使用測試</t>
    <phoneticPr fontId="24" type="noConversion"/>
  </si>
  <si>
    <t>轉速誤差容許值(非額定轉速)</t>
    <phoneticPr fontId="24" type="noConversion"/>
  </si>
  <si>
    <t>轉速誤差容許值(額定轉速)</t>
    <phoneticPr fontId="24" type="noConversion"/>
  </si>
  <si>
    <t>轉矩誤差容許值(非額定轉速)</t>
    <phoneticPr fontId="24" type="noConversion"/>
  </si>
  <si>
    <t>轉矩誤差容許值(額定轉速)</t>
    <phoneticPr fontId="24" type="noConversion"/>
  </si>
  <si>
    <t>輸入功率誤差容許值</t>
    <phoneticPr fontId="24" type="noConversion"/>
  </si>
  <si>
    <r>
      <rPr>
        <sz val="12"/>
        <color theme="1"/>
        <rFont val="新細明體"/>
        <family val="3"/>
        <charset val="134"/>
        <scheme val="minor"/>
      </rPr>
      <t>電機於溫升測試</t>
    </r>
    <r>
      <rPr>
        <sz val="12"/>
        <color rgb="FFFF0000"/>
        <rFont val="新細明體"/>
        <family val="3"/>
        <charset val="134"/>
        <scheme val="minor"/>
      </rPr>
      <t>達熱穩態後後進行T-N與P-N曲線測試</t>
    </r>
    <r>
      <rPr>
        <sz val="12"/>
        <color theme="1"/>
        <rFont val="新細明體"/>
        <family val="3"/>
        <charset val="134"/>
        <scheme val="minor"/>
      </rPr>
      <t xml:space="preserve">。
參考以下紀錄負載T-N與P-N曲線測試數據
初始轉速: 50%額定轉速測試
轉速間隔: 50%額定轉速
最終轉速:電機最高轉速規格
最終扭力: 該轉速對應T-N曲線規格最大扭力
以"量測轉速"等於"目標轉速"的情況下進行測試，加大扭力會增加滑差、使"量測轉速"降低，請再提高轉速命令(同步頻率)，使"量測轉速"等於"目標轉速"，再紀錄測試結果
如果因實驗設備限制，請註明可以實測的轉矩與速度的範圍；並且提供建議的測試操作點。(請電機廠備註使用的驅動器)
無法提供的數據請備註原因, 並填上N/A
</t>
    </r>
    <r>
      <rPr>
        <sz val="12"/>
        <color rgb="FFFF0000"/>
        <rFont val="新細明體"/>
        <family val="3"/>
        <charset val="134"/>
        <scheme val="minor"/>
      </rPr>
      <t>其餘細節參考表格下方備註</t>
    </r>
  </si>
  <si>
    <t>目標轉速(%)</t>
    <phoneticPr fontId="23" type="noConversion"/>
  </si>
  <si>
    <t>目標轉速(RPM)</t>
  </si>
  <si>
    <t>量測轉速(RPM)</t>
  </si>
  <si>
    <t>轉速誤差          (% or rpm)</t>
    <phoneticPr fontId="24" type="noConversion"/>
  </si>
  <si>
    <t>輸出功率誤差容許值</t>
    <phoneticPr fontId="24" type="noConversion"/>
  </si>
  <si>
    <t>電壓誤差容許值(非額定轉速)</t>
    <phoneticPr fontId="24" type="noConversion"/>
  </si>
  <si>
    <t>電壓誤差容許值(額定轉速)</t>
    <phoneticPr fontId="24" type="noConversion"/>
  </si>
  <si>
    <t>電流誤差容許值(非額定轉速)</t>
    <phoneticPr fontId="24" type="noConversion"/>
  </si>
  <si>
    <t>電流誤差容許值(額定轉速)</t>
    <phoneticPr fontId="24" type="noConversion"/>
  </si>
  <si>
    <t>三相電壓誤差容許值</t>
    <phoneticPr fontId="24" type="noConversion"/>
  </si>
  <si>
    <t>三相電流誤差容許值</t>
    <phoneticPr fontId="24" type="noConversion"/>
  </si>
  <si>
    <t>S2 短時間使用150%負載測試</t>
    <phoneticPr fontId="24" type="noConversion"/>
  </si>
  <si>
    <t>轉速誤差容許值</t>
    <phoneticPr fontId="24" type="noConversion"/>
  </si>
  <si>
    <t>轉矩誤差容許值</t>
    <phoneticPr fontId="24" type="noConversion"/>
  </si>
  <si>
    <t>轉矩設定(%)</t>
  </si>
  <si>
    <t>轉矩設定(Nm)</t>
    <phoneticPr fontId="24" type="noConversion"/>
  </si>
  <si>
    <t>量測轉矩(Nm)</t>
  </si>
  <si>
    <t>轉矩誤差 (%)</t>
    <phoneticPr fontId="24" type="noConversion"/>
  </si>
  <si>
    <t>電壓誤差容許值</t>
    <phoneticPr fontId="24" type="noConversion"/>
  </si>
  <si>
    <t>S3 / S6 反覆使用測試</t>
  </si>
  <si>
    <t>線電壓1(Vrms)</t>
    <phoneticPr fontId="1" type="noConversion"/>
  </si>
  <si>
    <t>線電壓2(Vrms)</t>
    <phoneticPr fontId="1" type="noConversion"/>
  </si>
  <si>
    <t>線電壓3(Vrms)</t>
    <phoneticPr fontId="1" type="noConversion"/>
  </si>
  <si>
    <t>平均電壓誤差(%)</t>
    <phoneticPr fontId="24" type="noConversion"/>
  </si>
  <si>
    <t>三相電壓誤差(%)</t>
    <phoneticPr fontId="24" type="noConversion"/>
  </si>
  <si>
    <t>線電流1(Arms)</t>
    <phoneticPr fontId="1" type="noConversion"/>
  </si>
  <si>
    <t>線電流2(Arms)</t>
    <phoneticPr fontId="1" type="noConversion"/>
  </si>
  <si>
    <t>線電流3(Arms)</t>
    <phoneticPr fontId="24" type="noConversion"/>
  </si>
  <si>
    <t>平均電流誤差(%)</t>
    <phoneticPr fontId="24" type="noConversion"/>
  </si>
  <si>
    <t>三相電流誤差(%)</t>
    <phoneticPr fontId="24" type="noConversion"/>
  </si>
  <si>
    <t>電機輸入功率(kW)</t>
  </si>
  <si>
    <t>輸入功率誤差(%)</t>
    <phoneticPr fontId="24" type="noConversion"/>
  </si>
  <si>
    <t>電機輸出功率(kW)</t>
  </si>
  <si>
    <t>效率(%)</t>
  </si>
  <si>
    <t>輸出功率誤差</t>
    <phoneticPr fontId="24" type="noConversion"/>
  </si>
  <si>
    <r>
      <rPr>
        <sz val="12"/>
        <color theme="1"/>
        <rFont val="新細明體"/>
        <family val="3"/>
        <charset val="134"/>
        <scheme val="minor"/>
      </rPr>
      <t>電機於</t>
    </r>
    <r>
      <rPr>
        <sz val="12"/>
        <color rgb="FFFF0000"/>
        <rFont val="新細明體"/>
        <family val="3"/>
        <charset val="134"/>
        <scheme val="minor"/>
      </rPr>
      <t>一定負荷</t>
    </r>
    <r>
      <rPr>
        <sz val="12"/>
        <color theme="1"/>
        <rFont val="新細明體"/>
        <family val="3"/>
        <charset val="134"/>
        <scheme val="minor"/>
      </rPr>
      <t>下,，短時間連續運轉</t>
    </r>
    <r>
      <rPr>
        <sz val="12"/>
        <color rgb="FFFF0000"/>
        <rFont val="新細明體"/>
        <family val="3"/>
        <charset val="134"/>
        <scheme val="minor"/>
      </rPr>
      <t xml:space="preserve"> N sec 
</t>
    </r>
    <r>
      <rPr>
        <sz val="12"/>
        <rFont val="新細明體"/>
        <family val="3"/>
        <charset val="134"/>
        <scheme val="minor"/>
      </rPr>
      <t xml:space="preserve">a .負載率 : 於額定轉速下須為150%。額定轉速後定功率區轉矩設定依照推算的設定。
</t>
    </r>
    <r>
      <rPr>
        <sz val="12"/>
        <color theme="1"/>
        <rFont val="新細明體"/>
        <family val="3"/>
        <charset val="134"/>
        <scheme val="minor"/>
      </rPr>
      <t>b. 運轉時間 : 在一定負載下電機由啟動運轉</t>
    </r>
    <r>
      <rPr>
        <sz val="12"/>
        <color rgb="FFFF0000"/>
        <rFont val="新細明體"/>
        <family val="3"/>
        <charset val="134"/>
        <scheme val="minor"/>
      </rPr>
      <t>未達熱平衡之時間 (註2)</t>
    </r>
    <r>
      <rPr>
        <sz val="12"/>
        <color theme="1"/>
        <rFont val="新細明體"/>
        <family val="3"/>
        <charset val="134"/>
        <scheme val="minor"/>
      </rPr>
      <t xml:space="preserve">。 (啟動溫度需與測試環境差在2°C之內)。
參考以下紀錄負載T-N與P-N曲線測試數據
初始轉速: 50%額定轉速測試
轉速間隔: 50%額定轉速
最終轉速:電機最高轉速規格
最終扭力: 該轉速對應T-N曲線規格最大扭力
無法提供的數據請備註原因， 並填上N/A
</t>
    </r>
    <r>
      <rPr>
        <sz val="12"/>
        <color rgb="FFFF0000"/>
        <rFont val="新細明體"/>
        <family val="3"/>
        <charset val="134"/>
        <scheme val="minor"/>
      </rPr>
      <t>其餘細節參考表格下方備註</t>
    </r>
  </si>
  <si>
    <t>目標轉速(%)</t>
    <phoneticPr fontId="24" type="noConversion"/>
  </si>
  <si>
    <t>轉速誤差(%)</t>
    <phoneticPr fontId="24" type="noConversion"/>
  </si>
  <si>
    <t>輸出功率誤差(%)</t>
    <phoneticPr fontId="24" type="noConversion"/>
  </si>
  <si>
    <t>S3 / S6 反覆使用測試
[ S3 / S6 10% 10min. ]
( 以 S6 為主, 若因設備無法達到, 則測 S3 )</t>
    <phoneticPr fontId="23" type="noConversion"/>
  </si>
  <si>
    <r>
      <rPr>
        <sz val="12"/>
        <color theme="1"/>
        <rFont val="新細明體"/>
        <family val="3"/>
        <charset val="134"/>
        <scheme val="minor"/>
      </rPr>
      <t>測試電機在</t>
    </r>
    <r>
      <rPr>
        <sz val="12"/>
        <color rgb="FFFF0000"/>
        <rFont val="新細明體"/>
        <family val="3"/>
        <charset val="134"/>
        <scheme val="minor"/>
      </rPr>
      <t>一定轉速、負載(註1)</t>
    </r>
    <r>
      <rPr>
        <sz val="12"/>
        <color theme="1"/>
        <rFont val="新細明體"/>
        <family val="3"/>
        <charset val="134"/>
        <scheme val="minor"/>
      </rPr>
      <t xml:space="preserve">、未達熱平衡下(註2)，進行週期運轉：
a.測試週期 : </t>
    </r>
    <r>
      <rPr>
        <sz val="12"/>
        <color rgb="FFFF0000"/>
        <rFont val="新細明體"/>
        <family val="3"/>
        <charset val="134"/>
        <scheme val="minor"/>
      </rPr>
      <t xml:space="preserve">10 min/cylce </t>
    </r>
    <r>
      <rPr>
        <sz val="12"/>
        <color theme="1"/>
        <rFont val="新細明體"/>
        <family val="3"/>
        <charset val="134"/>
        <scheme val="minor"/>
      </rPr>
      <t xml:space="preserve">
b.負荷時間率(duty)限制範圍 : </t>
    </r>
    <r>
      <rPr>
        <sz val="12"/>
        <color rgb="FFFF0000"/>
        <rFont val="新細明體"/>
        <family val="3"/>
        <charset val="134"/>
        <scheme val="minor"/>
      </rPr>
      <t>10~20%</t>
    </r>
    <r>
      <rPr>
        <sz val="12"/>
        <color theme="1"/>
        <rFont val="新細明體"/>
        <family val="3"/>
        <charset val="134"/>
        <scheme val="minor"/>
      </rPr>
      <t xml:space="preserve">
c. 
S3 : 電機按一系列相同的工作周期運行，每一周期包括一段恆定負載運行時間和一段</t>
    </r>
    <r>
      <rPr>
        <sz val="12"/>
        <color rgb="FFFF0000"/>
        <rFont val="新細明體"/>
        <family val="3"/>
        <charset val="134"/>
        <scheme val="minor"/>
      </rPr>
      <t>斷能停轉時間</t>
    </r>
    <r>
      <rPr>
        <sz val="12"/>
        <color theme="1"/>
        <rFont val="新細明體"/>
        <family val="3"/>
        <charset val="134"/>
        <scheme val="minor"/>
      </rPr>
      <t xml:space="preserve">
S6 : 電機按一系列相同的工作周期運行，每一周期包括一段恆定負載運行時間和一段</t>
    </r>
    <r>
      <rPr>
        <sz val="12"/>
        <color rgb="FFFF0000"/>
        <rFont val="新細明體"/>
        <family val="3"/>
        <charset val="134"/>
        <scheme val="minor"/>
      </rPr>
      <t>無負載運行時間</t>
    </r>
    <r>
      <rPr>
        <sz val="12"/>
        <color theme="1"/>
        <rFont val="新細明體"/>
        <family val="3"/>
        <charset val="134"/>
        <scheme val="minor"/>
      </rPr>
      <t xml:space="preserve">
初始轉速: 100%額定轉速測試 (註1)
轉速間隔: 50%額定轉速
最終轉速:電機最高轉速規格
最終扭力: 該轉速對應T-N曲線規格最大扭力
量測記錄點 : 如左圖黃色標示處，於負載下紀錄達熱平衡前各項數據
無法提供的數據請備註原因， 並填上N/A
</t>
    </r>
    <r>
      <rPr>
        <sz val="12"/>
        <color rgb="FFFF0000"/>
        <rFont val="新細明體"/>
        <family val="3"/>
        <charset val="134"/>
        <scheme val="minor"/>
      </rPr>
      <t>其餘細節參考表格下方備註</t>
    </r>
  </si>
  <si>
    <t>提供等校參數(實測值)</t>
    <phoneticPr fontId="24" type="noConversion"/>
  </si>
  <si>
    <t>透過實驗法實測感應電機的等校電路
確認電機參數與規格的誤差</t>
    <phoneticPr fontId="23" type="noConversion"/>
  </si>
  <si>
    <t>R1 定子電阻</t>
    <phoneticPr fontId="24" type="noConversion"/>
  </si>
  <si>
    <r>
      <t>設計值 (</t>
    </r>
    <r>
      <rPr>
        <sz val="12"/>
        <color theme="1"/>
        <rFont val="Calibri"/>
        <family val="1"/>
        <charset val="161"/>
      </rPr>
      <t>Ω</t>
    </r>
    <r>
      <rPr>
        <sz val="12"/>
        <color theme="1"/>
        <rFont val="新細明體"/>
        <family val="1"/>
        <charset val="136"/>
        <scheme val="minor"/>
      </rPr>
      <t>)</t>
    </r>
    <phoneticPr fontId="24" type="noConversion"/>
  </si>
  <si>
    <r>
      <t>測試結果 (</t>
    </r>
    <r>
      <rPr>
        <sz val="12"/>
        <color theme="1"/>
        <rFont val="Calibri"/>
        <family val="2"/>
      </rPr>
      <t>Ω</t>
    </r>
    <r>
      <rPr>
        <sz val="12"/>
        <color theme="1"/>
        <rFont val="新細明體"/>
        <family val="1"/>
        <charset val="136"/>
        <scheme val="minor"/>
      </rPr>
      <t>)</t>
    </r>
    <phoneticPr fontId="24" type="noConversion"/>
  </si>
  <si>
    <t>總檢查數</t>
    <phoneticPr fontId="1" type="noConversion"/>
  </si>
  <si>
    <t>通過</t>
    <phoneticPr fontId="1" type="noConversion"/>
  </si>
  <si>
    <t>不通過</t>
    <phoneticPr fontId="1" type="noConversion"/>
  </si>
  <si>
    <t>未填寫</t>
    <phoneticPr fontId="1" type="noConversion"/>
  </si>
  <si>
    <t>R1與各項電阻平均的誤差容許值</t>
    <phoneticPr fontId="1" type="noConversion"/>
  </si>
  <si>
    <t>上電後</t>
    <phoneticPr fontId="1" type="noConversion"/>
  </si>
  <si>
    <t>項次16備註 :</t>
    <phoneticPr fontId="1" type="noConversion"/>
  </si>
  <si>
    <t>註4 : 電壓需限制於額定電壓*之內。</t>
    <phoneticPr fontId="1" type="noConversion"/>
  </si>
  <si>
    <t>註3 : 電壓需限制於額定電壓*之內。</t>
    <phoneticPr fontId="1" type="noConversion"/>
  </si>
  <si>
    <r>
      <t>註1 : 一定轉速下持續加扭矩，</t>
    </r>
    <r>
      <rPr>
        <sz val="12"/>
        <color rgb="FFFF0000"/>
        <rFont val="新細明體"/>
        <family val="1"/>
        <charset val="136"/>
      </rPr>
      <t>持續加扭矩到轉速無法維持前的扭矩為最大扭矩</t>
    </r>
    <r>
      <rPr>
        <sz val="12"/>
        <color theme="1"/>
        <rFont val="新細明體"/>
        <family val="2"/>
        <charset val="136"/>
      </rPr>
      <t>。</t>
    </r>
    <phoneticPr fontId="1" type="noConversion"/>
  </si>
  <si>
    <t>註5 : 若負載率&gt;150%，需多測試"負載率&gt;150%負載運轉時間(s)"。</t>
    <phoneticPr fontId="1" type="noConversion"/>
  </si>
  <si>
    <t>S2 目標扭矩(Nm)</t>
    <phoneticPr fontId="1" type="noConversion"/>
  </si>
  <si>
    <t>S3/S6 目標扭矩(Nm)</t>
    <phoneticPr fontId="1" type="noConversion"/>
  </si>
  <si>
    <t>Max acc. 目標轉速(rpm)</t>
    <phoneticPr fontId="1" type="noConversion"/>
  </si>
  <si>
    <t>Max acc. 目標扭矩(Nm)</t>
    <phoneticPr fontId="1" type="noConversion"/>
  </si>
  <si>
    <t>S2
短時間使用過負載測試
[ S2 N sec. ]</t>
    <phoneticPr fontId="1" type="noConversion"/>
  </si>
  <si>
    <t>紅底為驗收標準</t>
    <phoneticPr fontId="1" type="noConversion"/>
  </si>
  <si>
    <t>Ex.</t>
    <phoneticPr fontId="1" type="noConversion"/>
  </si>
  <si>
    <t>註1 : 額定轉速後依照S2驗收標準推算轉矩設定。</t>
    <phoneticPr fontId="1" type="noConversion"/>
  </si>
  <si>
    <t xml:space="preserve">註1 : 額定轉速後依照額定功率推算轉矩設定。 </t>
    <phoneticPr fontId="1" type="noConversion"/>
  </si>
  <si>
    <t>Max acc.
加速度測試</t>
    <phoneticPr fontId="1" type="noConversion"/>
  </si>
  <si>
    <t>Max acc.運行秒數(s)</t>
    <phoneticPr fontId="1" type="noConversion"/>
  </si>
  <si>
    <t>目標轉速(%)</t>
    <phoneticPr fontId="1" type="noConversion"/>
  </si>
  <si>
    <t>註2 : 規定線圈溫度需不超過溫昇標準 (參考新代主軸電機溫昇標準)。</t>
    <phoneticPr fontId="1" type="noConversion"/>
  </si>
  <si>
    <t>測試環境 : 
1.空載測試，若有鍵槽，嵌入半鍵並套上套筒
2.以10Hz高通濾波器量測振動，濾除低頻環境振動
3.將電機放置鎖固在治具上
測試點 : 共測試六個位置(註1)
1.電機前端水平
2.電機前端垂直
3.電機前端軸向
4.電機尾端水平
5.電機尾端垂直
6.電機尾端軸向
測試轉速 : 
由額定轉速開始測試至最高轉速，每次轉速提高1000RPM</t>
    <phoneticPr fontId="1" type="noConversion"/>
  </si>
  <si>
    <t>項次17備註 :</t>
    <phoneticPr fontId="1" type="noConversion"/>
  </si>
  <si>
    <t>註1 : 量測方向與位置
1. 以接線盒開蓋方向為垂直方向
2. 水平、垂直測項測試點
     2-1. 正負方向（雙面）皆可
     2-2. 距離軸承中心位置 ±5 cm範圍內
3. 軸向測項測試點
     3-1. 該方向平面皆可</t>
    <phoneticPr fontId="1" type="noConversion"/>
  </si>
  <si>
    <r>
      <t>電機前端垂直(</t>
    </r>
    <r>
      <rPr>
        <sz val="12"/>
        <color theme="1"/>
        <rFont val="新細明體"/>
        <family val="2"/>
        <charset val="136"/>
      </rPr>
      <t>μ</t>
    </r>
    <r>
      <rPr>
        <sz val="12"/>
        <color theme="1"/>
        <rFont val="新細明體"/>
        <family val="2"/>
        <charset val="136"/>
        <scheme val="minor"/>
      </rPr>
      <t>m)</t>
    </r>
    <phoneticPr fontId="1" type="noConversion"/>
  </si>
  <si>
    <t>S2 目標轉速(rpm)(註1)</t>
    <phoneticPr fontId="1" type="noConversion"/>
  </si>
  <si>
    <t>S3/S6 目標轉速(rpm)(註1)</t>
    <phoneticPr fontId="1" type="noConversion"/>
  </si>
  <si>
    <t xml:space="preserve">驗收標準備註 : </t>
    <phoneticPr fontId="1" type="noConversion"/>
  </si>
  <si>
    <r>
      <t xml:space="preserve">註1 : </t>
    </r>
    <r>
      <rPr>
        <sz val="12"/>
        <color rgb="FFFF0000"/>
        <rFont val="新細明體"/>
        <family val="1"/>
        <charset val="136"/>
        <scheme val="minor"/>
      </rPr>
      <t>S2、S3/S6目標轉速≦額定轉速</t>
    </r>
    <r>
      <rPr>
        <sz val="12"/>
        <color theme="1"/>
        <rFont val="新細明體"/>
        <family val="2"/>
        <charset val="136"/>
        <scheme val="minor"/>
      </rPr>
      <t>。</t>
    </r>
    <phoneticPr fontId="1" type="noConversion"/>
  </si>
  <si>
    <r>
      <t>電機於</t>
    </r>
    <r>
      <rPr>
        <sz val="12"/>
        <color rgb="FFFF0000"/>
        <rFont val="新細明體"/>
        <family val="1"/>
        <charset val="136"/>
        <scheme val="minor"/>
      </rPr>
      <t>一定負荷</t>
    </r>
    <r>
      <rPr>
        <sz val="12"/>
        <color theme="1"/>
        <rFont val="新細明體"/>
        <family val="2"/>
        <charset val="136"/>
        <scheme val="minor"/>
      </rPr>
      <t>下,，</t>
    </r>
    <r>
      <rPr>
        <sz val="12"/>
        <color rgb="FFFF0000"/>
        <rFont val="新細明體"/>
        <family val="1"/>
        <charset val="136"/>
        <scheme val="minor"/>
      </rPr>
      <t>短時間連續運轉 N sec</t>
    </r>
    <r>
      <rPr>
        <sz val="12"/>
        <color theme="1"/>
        <rFont val="新細明體"/>
        <family val="2"/>
        <charset val="136"/>
        <scheme val="minor"/>
      </rPr>
      <t xml:space="preserve"> (註5)
a .負載率 : 於S2目標轉速下須為S2目標扭矩。額定轉速後定功率區轉矩設定依照推算的設定。
b. 運轉時間 : 在一定負載下電機由啟動運轉</t>
    </r>
    <r>
      <rPr>
        <sz val="12"/>
        <color rgb="FFFF0000"/>
        <rFont val="新細明體"/>
        <family val="1"/>
        <charset val="136"/>
        <scheme val="minor"/>
      </rPr>
      <t>未達熱平衡之時間</t>
    </r>
    <r>
      <rPr>
        <sz val="12"/>
        <color theme="1"/>
        <rFont val="新細明體"/>
        <family val="2"/>
        <charset val="136"/>
        <scheme val="minor"/>
      </rPr>
      <t xml:space="preserve"> (註2)。 (啟動溫度需與測試環境差在2°C之內)。
參考以下紀錄負載T-N與P-N曲線測試數據
初始轉速: S2目標轉速/50%額定轉速測試 </t>
    </r>
    <r>
      <rPr>
        <sz val="12"/>
        <color rgb="FFFF0000"/>
        <rFont val="新細明體"/>
        <family val="1"/>
        <charset val="136"/>
        <scheme val="minor"/>
      </rPr>
      <t>(S2目標轉速≦額定轉速)</t>
    </r>
    <r>
      <rPr>
        <sz val="12"/>
        <color theme="1"/>
        <rFont val="新細明體"/>
        <family val="2"/>
        <charset val="136"/>
        <scheme val="minor"/>
      </rPr>
      <t xml:space="preserve">
轉速間隔: 50%額定轉速(100%目標轉速以上)
最終轉速:電機最高轉速規格
最終扭力: 該轉速對應T-N曲線規格最大扭力
無法提供的數據請備註原因， 並填上N/A
</t>
    </r>
    <r>
      <rPr>
        <sz val="12"/>
        <color rgb="FFFF0000"/>
        <rFont val="新細明體"/>
        <family val="1"/>
        <charset val="136"/>
        <scheme val="minor"/>
      </rPr>
      <t>其餘細節參考表格下方備註</t>
    </r>
    <phoneticPr fontId="1" type="noConversion"/>
  </si>
  <si>
    <t>平均負荷時間率(%)</t>
    <phoneticPr fontId="1" type="noConversion"/>
  </si>
  <si>
    <t>S3/S6 目標負荷時間率(%)</t>
    <phoneticPr fontId="1" type="noConversion"/>
  </si>
  <si>
    <t>目標電壓(V)</t>
    <phoneticPr fontId="1" type="noConversion"/>
  </si>
  <si>
    <r>
      <t>測試電機在</t>
    </r>
    <r>
      <rPr>
        <sz val="12"/>
        <color rgb="FFFF0000"/>
        <rFont val="新細明體"/>
        <family val="1"/>
        <charset val="136"/>
        <scheme val="minor"/>
      </rPr>
      <t>一定轉速</t>
    </r>
    <r>
      <rPr>
        <sz val="12"/>
        <color theme="1"/>
        <rFont val="新細明體"/>
        <family val="2"/>
        <charset val="136"/>
        <scheme val="minor"/>
      </rPr>
      <t>下，瞬間可達到的</t>
    </r>
    <r>
      <rPr>
        <sz val="12"/>
        <color rgb="FFFF0000"/>
        <rFont val="新細明體"/>
        <family val="1"/>
        <charset val="136"/>
        <scheme val="minor"/>
      </rPr>
      <t>最大扭矩(註1)</t>
    </r>
    <r>
      <rPr>
        <sz val="12"/>
        <color theme="1"/>
        <rFont val="新細明體"/>
        <family val="2"/>
        <charset val="136"/>
        <scheme val="minor"/>
      </rPr>
      <t>，並記錄在最大扭矩下最大轉速之測試點，到達溫昇限制(註2)前</t>
    </r>
    <r>
      <rPr>
        <sz val="12"/>
        <color rgb="FFFF0000"/>
        <rFont val="新細明體"/>
        <family val="1"/>
        <charset val="136"/>
        <scheme val="minor"/>
      </rPr>
      <t>運轉秒數</t>
    </r>
    <r>
      <rPr>
        <sz val="12"/>
        <color theme="1"/>
        <rFont val="新細明體"/>
        <family val="2"/>
        <charset val="136"/>
        <scheme val="minor"/>
      </rPr>
      <t xml:space="preserve">
a.目標電壓：自行調整變頻器/驅動器電壓，符合讓電機在目標電壓下運行，且不超過電機耐壓。
無法提供的數據請備註原因， 並填上N/A
</t>
    </r>
    <r>
      <rPr>
        <sz val="12"/>
        <color rgb="FFFF0000"/>
        <rFont val="新細明體"/>
        <family val="1"/>
        <charset val="136"/>
        <scheme val="minor"/>
      </rPr>
      <t>其餘細節參考表格下方備註</t>
    </r>
    <phoneticPr fontId="1" type="noConversion"/>
  </si>
  <si>
    <t>註3 : 到達新代主軸電機溫昇標準前之運行秒數。</t>
    <phoneticPr fontId="1" type="noConversion"/>
  </si>
  <si>
    <t>註4 : 標訂的Max acc.最大扭矩將會使用Max acc.測試模版進行加速曲線數據收集。</t>
    <phoneticPr fontId="1" type="noConversion"/>
  </si>
  <si>
    <t>運行時間(s)
(註3)</t>
    <phoneticPr fontId="1" type="noConversion"/>
  </si>
  <si>
    <r>
      <t>註1 : duty最低要求為</t>
    </r>
    <r>
      <rPr>
        <sz val="12"/>
        <color rgb="FFFF0000"/>
        <rFont val="新細明體"/>
        <family val="1"/>
        <charset val="136"/>
        <scheme val="minor"/>
      </rPr>
      <t>15%，且常用duty為15、25、40、60%。</t>
    </r>
    <phoneticPr fontId="1" type="noConversion"/>
  </si>
  <si>
    <t>轉矩設定(Nm)</t>
    <phoneticPr fontId="1" type="noConversion"/>
  </si>
  <si>
    <t>負荷時間率 (%)
(註1)</t>
    <phoneticPr fontId="1" type="noConversion"/>
  </si>
  <si>
    <r>
      <t>測試電機在</t>
    </r>
    <r>
      <rPr>
        <sz val="12"/>
        <color rgb="FFFF0000"/>
        <rFont val="新細明體"/>
        <family val="1"/>
        <charset val="136"/>
        <scheme val="minor"/>
      </rPr>
      <t>一定轉速、負載(註1)</t>
    </r>
    <r>
      <rPr>
        <sz val="12"/>
        <color theme="1"/>
        <rFont val="新細明體"/>
        <family val="2"/>
        <charset val="136"/>
        <scheme val="minor"/>
      </rPr>
      <t xml:space="preserve">、未達熱平衡下(註2)，進行週期運轉：
a.測試週期 : </t>
    </r>
    <r>
      <rPr>
        <sz val="12"/>
        <color rgb="FFFF0000"/>
        <rFont val="新細明體"/>
        <family val="1"/>
        <charset val="136"/>
        <scheme val="minor"/>
      </rPr>
      <t xml:space="preserve">10 min/cylce </t>
    </r>
    <r>
      <rPr>
        <sz val="12"/>
        <color theme="1"/>
        <rFont val="新細明體"/>
        <family val="2"/>
        <charset val="136"/>
        <scheme val="minor"/>
      </rPr>
      <t xml:space="preserve">
b.負荷時間率(duty)限制範圍 : </t>
    </r>
    <r>
      <rPr>
        <sz val="12"/>
        <color rgb="FFFF0000"/>
        <rFont val="新細明體"/>
        <family val="1"/>
        <charset val="136"/>
        <scheme val="minor"/>
      </rPr>
      <t>目標負荷時間率+ 5%</t>
    </r>
    <r>
      <rPr>
        <sz val="12"/>
        <color theme="1"/>
        <rFont val="新細明體"/>
        <family val="2"/>
        <charset val="136"/>
        <scheme val="minor"/>
      </rPr>
      <t xml:space="preserve">
c. 
S3 : 電機按一系列相同的工作周期運行，每一周期包括一段恆定負載運行時間和一段</t>
    </r>
    <r>
      <rPr>
        <sz val="12"/>
        <color rgb="FFFF0000"/>
        <rFont val="新細明體"/>
        <family val="1"/>
        <charset val="136"/>
        <scheme val="minor"/>
      </rPr>
      <t>斷能停轉時間</t>
    </r>
    <r>
      <rPr>
        <sz val="12"/>
        <color theme="1"/>
        <rFont val="新細明體"/>
        <family val="2"/>
        <charset val="136"/>
        <scheme val="minor"/>
      </rPr>
      <t xml:space="preserve">
S6 : 電機按一系列相同的工作周期運行，每一周期包括一段恆定負載運行時間和一段</t>
    </r>
    <r>
      <rPr>
        <sz val="12"/>
        <color rgb="FFFF0000"/>
        <rFont val="新細明體"/>
        <family val="1"/>
        <charset val="136"/>
        <scheme val="minor"/>
      </rPr>
      <t>無負載運行時間</t>
    </r>
    <r>
      <rPr>
        <sz val="12"/>
        <color theme="1"/>
        <rFont val="新細明體"/>
        <family val="2"/>
        <charset val="136"/>
        <scheme val="minor"/>
      </rPr>
      <t xml:space="preserve">
初始轉速: S3/S6目標轉速
轉速間隔: 50%額定轉速
最終轉速:電機最高轉速規格
最終扭力: 該轉速對應T-N曲線規格最大扭力
量測記錄點 : 如左圖黃色標示處，於負載下紀錄達熱平衡前各項數據
無法提供的數據請備註原因， 並填上N/A
</t>
    </r>
    <r>
      <rPr>
        <sz val="12"/>
        <color rgb="FFFF0000"/>
        <rFont val="新細明體"/>
        <family val="1"/>
        <charset val="136"/>
        <scheme val="minor"/>
      </rPr>
      <t>其餘細節參考表格下方備註</t>
    </r>
    <phoneticPr fontId="1" type="noConversion"/>
  </si>
  <si>
    <t>Max acc.最大轉矩(Nm)</t>
    <phoneticPr fontId="1" type="noConversion"/>
  </si>
  <si>
    <t>Max acc.最大電流(Arms)</t>
    <phoneticPr fontId="1" type="noConversion"/>
  </si>
  <si>
    <t>智慧溫控最大扭矩</t>
    <phoneticPr fontId="1" type="noConversion"/>
  </si>
  <si>
    <t>開啟智慧溫控功能</t>
    <phoneticPr fontId="1" type="noConversion"/>
  </si>
  <si>
    <t>上電後</t>
  </si>
  <si>
    <t>電機後方</t>
    <phoneticPr fontId="1" type="noConversion"/>
  </si>
  <si>
    <t>電機側邊</t>
    <phoneticPr fontId="1" type="noConversion"/>
  </si>
  <si>
    <t>環境噪音(dB)</t>
    <phoneticPr fontId="1" type="noConversion"/>
  </si>
  <si>
    <t>運轉後噪音(dB)</t>
    <phoneticPr fontId="1" type="noConversion"/>
  </si>
  <si>
    <t>測量位置</t>
    <phoneticPr fontId="1" type="noConversion"/>
  </si>
  <si>
    <t xml:space="preserve">
測試環境:
1. 空載測試，若有鍵槽，嵌入半鍵並套上套筒
2. 將分貝計置於距電機約1公尺，並與電機同高度
3. 廠內相對安靜的區域(ex. 上下左右皆大於一公尺的空曠空間)
測試點: 
1. 電機後方 
2. 電機側邊
測試項目: 
1. 環境噪音 
2. 運轉後噪音
測試轉速 : 
由額定轉速開始測試至最高轉速，每次轉速提高1000RPM</t>
    <phoneticPr fontId="1" type="noConversion"/>
  </si>
  <si>
    <t>噪音測試</t>
    <phoneticPr fontId="1" type="noConversion"/>
  </si>
  <si>
    <t>特性曲線圖，須調整部分 :
1. 
座標軸選項 → 水平(值)軸 →範圍 :
a. 最小值 : 0  。
b. 最大值 : 電機最高轉速  。
c. 單位 (主要) : 4-6格  (電機最高轉速/n=4-6，n為正整數)。
2. 
座標軸選項 → 垂直(值)軸 →範圍 :
a. 最小值 : 0  。
b. 最大值 : 最大值 &gt; 過載特性曲線中的最大扭矩、最大功率。
c. 單位 (主要) : 4-6格  (最大值/n=4-6，n為正整數)。
3. 
轉折點 :
a. 請以虛線下拉至橫軸與最靠近橫軸的縱軸格線之間。（如下圖範例）
b. 若不只一個轉折點請複製虛線、文字方塊"請填轉折點轉速"。
4. 
TNCurve、PNCurve :
a. 請將  定扭力數值Nm、定功率數值kW  配置於定扭力區、定功率區(水平線)的上方。
b. 若版面空間不夠，則建議修改縱軸Scale的格數/配置於水平線的下方。
5. 
TNCurve、PNCurve:
a. "S1-Cont."：
    配置於工作區涵蓋範圍中。
    若版面空間不夠，則使用箭頭指向工作區涵蓋範圍。
b. "工作制+單位&amp;(0), (M), (S)"：(S2、S3/S6)
    使用箭頭指向工作區涵蓋範圍。
c. "S2-Nmin"，其中N為正整數。
    "S3/S6 N%"，其中N=60%、40%、25%、15%。
d. 驅動器選型-級數-工作制--對應關係（如下圖範例）。
S1-Cont.
大一級：S2-30min (0, M)→(大二級所需驅動器可應用在大一級的過載狀況)
大二級：S3/S6 15% (M)
6.
曲線請自行更改對應數列，使得轉折點不為平滑曲線。
7.
建議於解析度1920*1080之顯示器開啟檔案以防止圖面跑版。</t>
    <phoneticPr fontId="1" type="noConversion"/>
  </si>
  <si>
    <t>（擴充欄位）</t>
    <phoneticPr fontId="1" type="noConversion"/>
  </si>
  <si>
    <r>
      <t xml:space="preserve">一、測試項目一：空載測試。
-空載額定轉速操作：零轉矩、額定轉速下運行
-空載最大轉速操作：零轉矩、最大轉速下運行
測試步驟：
</t>
    </r>
    <r>
      <rPr>
        <sz val="12"/>
        <color theme="8"/>
        <rFont val="新細明體"/>
        <family val="1"/>
        <charset val="136"/>
        <scheme val="minor"/>
      </rPr>
      <t>1. 冷卻液按照表格內設定流量（若冷卻方式為水冷需調整）</t>
    </r>
    <r>
      <rPr>
        <sz val="12"/>
        <color theme="1"/>
        <rFont val="新細明體"/>
        <family val="1"/>
        <charset val="136"/>
        <scheme val="minor"/>
      </rPr>
      <t xml:space="preserve">
2. 30min內溫度差小於1度C則判斷達到穩定
紀錄 ：
達穩定後記錄實際冷卻液流量、電機進出口溫度、穩定溫度數值、達穩態或110℃的時間。
二、測試項目二 ：額定測試（S1 連續工作制）
-連續工作制(S1) (額定轉速)：額定轉矩、額定轉速下運行
-連續工作制(S1) (1500RPM)：額定轉矩、1500rpm下運行
測試步驟：
</t>
    </r>
    <r>
      <rPr>
        <sz val="12"/>
        <color theme="8"/>
        <rFont val="新細明體"/>
        <family val="1"/>
        <charset val="136"/>
        <scheme val="minor"/>
      </rPr>
      <t>1.冷卻液按照表格內設定流量（若冷卻方式為水冷需調整）</t>
    </r>
    <r>
      <rPr>
        <sz val="12"/>
        <color theme="1"/>
        <rFont val="新細明體"/>
        <family val="1"/>
        <charset val="136"/>
        <scheme val="minor"/>
      </rPr>
      <t xml:space="preserve">
2.，4HR內溫度差小於1度C則判斷達到穩定
紀錄 ：
達穩定後記錄實際冷卻液流量、電機進出口溫度、穩定溫度數值、達穩態或110℃的時間。
三、於報告與驗收規範表內備註欄位填寫：
1.量測方式
2.量測儀器
3.驅動器廠牌、型號、新代驅動器另紀錄版本與參數
4.水冷/油冷機型號
</t>
    </r>
    <r>
      <rPr>
        <sz val="12"/>
        <color rgb="FFFF0000"/>
        <rFont val="新細明體"/>
        <family val="1"/>
        <charset val="136"/>
        <scheme val="minor"/>
      </rPr>
      <t>所有量測點溫升限制 ：依循新代電機溫昇標準</t>
    </r>
    <phoneticPr fontId="1" type="noConversion"/>
  </si>
  <si>
    <t>α12L
(SIMW-132N-15-08)</t>
    <phoneticPr fontId="1" type="noConversion"/>
  </si>
  <si>
    <t>感應</t>
    <phoneticPr fontId="1" type="noConversion"/>
  </si>
  <si>
    <t>S6</t>
    <phoneticPr fontId="1" type="noConversion"/>
  </si>
  <si>
    <t>水</t>
    <phoneticPr fontId="1" type="noConversion"/>
  </si>
  <si>
    <t>134..1</t>
    <phoneticPr fontId="1" type="noConversion"/>
  </si>
  <si>
    <t>AC1000</t>
    <phoneticPr fontId="1" type="noConversion"/>
  </si>
  <si>
    <t>AC1800</t>
    <phoneticPr fontId="1" type="noConversion"/>
  </si>
  <si>
    <t>DC500V</t>
    <phoneticPr fontId="1" type="noConversion"/>
  </si>
  <si>
    <t>1512M</t>
    <phoneticPr fontId="1" type="noConversion"/>
  </si>
  <si>
    <t>是</t>
    <phoneticPr fontId="1" type="noConversion"/>
  </si>
  <si>
    <t>Y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</si>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</sst>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0.0_ "/>
    <numFmt numFmtId="177" formatCode="0_);[Red]\(0\)"/>
    <numFmt numFmtId="178" formatCode="0.00_);[Red]\(0.00\)"/>
    <numFmt numFmtId="179" formatCode="0.0"/>
    <numFmt numFmtId="180" formatCode="0.0%"/>
    <numFmt numFmtId="181" formatCode="0.00_ "/>
    <numFmt numFmtId="182" formatCode="0_ "/>
    <numFmt numFmtId="183" formatCode="0.0_);[Red]\(0.0\)"/>
    <numFmt numFmtId="184" formatCode="General&quot; rpm&quot;"/>
    <numFmt numFmtId="185" formatCode="0.000%"/>
  </numFmts>
  <fonts count="3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  <charset val="161"/>
    </font>
    <font>
      <sz val="12"/>
      <color rgb="FFFF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12"/>
      <color rgb="FF0000FF"/>
      <name val="新細明體"/>
      <family val="2"/>
      <charset val="136"/>
      <scheme val="minor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  <scheme val="minor"/>
    </font>
    <font>
      <sz val="12"/>
      <name val="新細明體"/>
      <family val="2"/>
      <charset val="136"/>
    </font>
    <font>
      <sz val="9"/>
      <name val="新細明體"/>
      <family val="3"/>
      <charset val="134"/>
      <scheme val="minor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3"/>
      <charset val="134"/>
      <scheme val="minor"/>
    </font>
    <font>
      <sz val="12"/>
      <color rgb="FFFF0000"/>
      <name val="新細明體"/>
      <family val="3"/>
      <charset val="134"/>
      <scheme val="minor"/>
    </font>
    <font>
      <sz val="12"/>
      <name val="新細明體"/>
      <family val="3"/>
      <charset val="134"/>
      <scheme val="minor"/>
    </font>
    <font>
      <sz val="12"/>
      <color rgb="FF000000"/>
      <name val="新細明體"/>
      <family val="3"/>
      <charset val="134"/>
      <scheme val="minor"/>
    </font>
    <font>
      <sz val="12"/>
      <color theme="1"/>
      <name val="Calibri"/>
      <family val="1"/>
      <charset val="161"/>
    </font>
    <font>
      <sz val="12"/>
      <color theme="1"/>
      <name val="Calibri"/>
      <family val="2"/>
    </font>
    <font>
      <sz val="12"/>
      <color theme="8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auto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/>
      <top style="thin">
        <color indexed="64"/>
      </top>
      <bottom/>
      <diagonal style="thin">
        <color indexed="64"/>
      </diagonal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</cellStyleXfs>
  <cellXfs count="68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1" xfId="0" applyBorder="1">
      <alignment vertical="center"/>
    </xf>
    <xf numFmtId="0" fontId="2" fillId="0" borderId="3" xfId="0" applyFont="1" applyBorder="1" applyAlignment="1">
      <alignment horizontal="center" vertical="center"/>
    </xf>
    <xf numFmtId="49" fontId="0" fillId="0" borderId="6" xfId="0" applyNumberFormat="1" applyBorder="1">
      <alignment vertical="center"/>
    </xf>
    <xf numFmtId="0" fontId="0" fillId="3" borderId="0" xfId="0" applyFill="1">
      <alignment vertical="center"/>
    </xf>
    <xf numFmtId="49" fontId="0" fillId="0" borderId="5" xfId="0" applyNumberFormat="1" applyBorder="1">
      <alignment vertical="center"/>
    </xf>
    <xf numFmtId="0" fontId="0" fillId="0" borderId="64" xfId="0" applyBorder="1">
      <alignment vertical="center"/>
    </xf>
    <xf numFmtId="177" fontId="0" fillId="4" borderId="1" xfId="0" applyNumberFormat="1" applyFill="1" applyBorder="1" applyProtection="1">
      <alignment vertical="center"/>
      <protection locked="0"/>
    </xf>
    <xf numFmtId="178" fontId="0" fillId="4" borderId="1" xfId="0" applyNumberFormat="1" applyFill="1" applyBorder="1" applyProtection="1">
      <alignment vertical="center"/>
      <protection locked="0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178" fontId="0" fillId="4" borderId="9" xfId="0" applyNumberFormat="1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177" fontId="0" fillId="4" borderId="6" xfId="0" applyNumberFormat="1" applyFill="1" applyBorder="1" applyProtection="1">
      <alignment vertical="center"/>
      <protection locked="0"/>
    </xf>
    <xf numFmtId="178" fontId="0" fillId="4" borderId="6" xfId="0" applyNumberFormat="1" applyFill="1" applyBorder="1" applyProtection="1">
      <alignment vertical="center"/>
      <protection locked="0"/>
    </xf>
    <xf numFmtId="178" fontId="0" fillId="4" borderId="8" xfId="0" applyNumberFormat="1" applyFill="1" applyBorder="1" applyProtection="1">
      <alignment vertical="center"/>
      <protection locked="0"/>
    </xf>
    <xf numFmtId="178" fontId="0" fillId="4" borderId="9" xfId="0" applyNumberFormat="1" applyFill="1" applyBorder="1" applyProtection="1">
      <alignment vertical="center"/>
      <protection locked="0"/>
    </xf>
    <xf numFmtId="176" fontId="0" fillId="2" borderId="1" xfId="0" applyNumberFormat="1" applyFill="1" applyBorder="1">
      <alignment vertical="center"/>
    </xf>
    <xf numFmtId="0" fontId="7" fillId="0" borderId="0" xfId="0" applyFont="1" applyAlignment="1">
      <alignment vertical="top" wrapText="1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4" borderId="27" xfId="0" applyFill="1" applyBorder="1" applyAlignment="1" applyProtection="1">
      <alignment horizontal="center" vertical="center"/>
      <protection locked="0"/>
    </xf>
    <xf numFmtId="0" fontId="0" fillId="4" borderId="28" xfId="0" applyFill="1" applyBorder="1" applyAlignment="1" applyProtection="1">
      <alignment horizontal="center" vertical="center"/>
      <protection locked="0"/>
    </xf>
    <xf numFmtId="0" fontId="0" fillId="4" borderId="67" xfId="0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top" wrapText="1"/>
    </xf>
    <xf numFmtId="1" fontId="0" fillId="0" borderId="1" xfId="0" applyNumberFormat="1" applyBorder="1" applyAlignment="1">
      <alignment horizontal="center" vertical="center"/>
    </xf>
    <xf numFmtId="0" fontId="0" fillId="4" borderId="51" xfId="0" applyFill="1" applyBorder="1">
      <alignment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5" xfId="0" applyFill="1" applyBorder="1">
      <alignment vertical="center"/>
    </xf>
    <xf numFmtId="181" fontId="0" fillId="4" borderId="1" xfId="0" applyNumberFormat="1" applyFill="1" applyBorder="1">
      <alignment vertical="center"/>
    </xf>
    <xf numFmtId="0" fontId="0" fillId="2" borderId="6" xfId="0" applyFill="1" applyBorder="1">
      <alignment vertical="center"/>
    </xf>
    <xf numFmtId="182" fontId="0" fillId="4" borderId="6" xfId="0" applyNumberFormat="1" applyFill="1" applyBorder="1">
      <alignment vertical="center"/>
    </xf>
    <xf numFmtId="0" fontId="0" fillId="4" borderId="69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34" xfId="0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7" xfId="0" applyFill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2" borderId="41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180" fontId="0" fillId="0" borderId="8" xfId="3" applyNumberFormat="1" applyFont="1" applyBorder="1" applyAlignment="1" applyProtection="1">
      <alignment vertical="center" wrapText="1"/>
    </xf>
    <xf numFmtId="180" fontId="0" fillId="0" borderId="0" xfId="3" applyNumberFormat="1" applyFont="1" applyBorder="1" applyAlignment="1" applyProtection="1">
      <alignment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4" borderId="5" xfId="0" applyFill="1" applyBorder="1">
      <alignment vertical="center"/>
    </xf>
    <xf numFmtId="183" fontId="0" fillId="4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81" fontId="0" fillId="0" borderId="1" xfId="0" applyNumberFormat="1" applyBorder="1" applyAlignment="1">
      <alignment horizontal="center" vertical="center" wrapText="1"/>
    </xf>
    <xf numFmtId="182" fontId="0" fillId="0" borderId="27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29" xfId="0" applyNumberFormat="1" applyBorder="1" applyAlignment="1">
      <alignment vertical="center" wrapText="1"/>
    </xf>
    <xf numFmtId="179" fontId="0" fillId="0" borderId="29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9" fontId="0" fillId="4" borderId="29" xfId="0" applyNumberFormat="1" applyFill="1" applyBorder="1" applyAlignment="1">
      <alignment vertical="center" wrapText="1"/>
    </xf>
    <xf numFmtId="9" fontId="0" fillId="4" borderId="1" xfId="0" applyNumberFormat="1" applyFill="1" applyBorder="1" applyAlignment="1">
      <alignment vertical="center" wrapText="1"/>
    </xf>
    <xf numFmtId="179" fontId="0" fillId="0" borderId="30" xfId="3" applyNumberFormat="1" applyFont="1" applyFill="1" applyBorder="1" applyAlignment="1" applyProtection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71" xfId="0" applyFill="1" applyBorder="1" applyAlignment="1">
      <alignment vertical="center" wrapText="1"/>
    </xf>
    <xf numFmtId="0" fontId="0" fillId="2" borderId="70" xfId="0" applyFill="1" applyBorder="1" applyAlignment="1">
      <alignment vertical="center" wrapText="1"/>
    </xf>
    <xf numFmtId="0" fontId="0" fillId="4" borderId="49" xfId="0" applyFill="1" applyBorder="1" applyAlignment="1">
      <alignment horizontal="center" vertical="center" wrapText="1"/>
    </xf>
    <xf numFmtId="0" fontId="0" fillId="4" borderId="79" xfId="0" applyFill="1" applyBorder="1" applyAlignment="1">
      <alignment horizontal="center" vertical="center" wrapText="1"/>
    </xf>
    <xf numFmtId="9" fontId="0" fillId="4" borderId="29" xfId="0" applyNumberFormat="1" applyFill="1" applyBorder="1" applyAlignment="1">
      <alignment horizontal="right" vertical="center" wrapText="1"/>
    </xf>
    <xf numFmtId="179" fontId="0" fillId="2" borderId="29" xfId="0" applyNumberFormat="1" applyFill="1" applyBorder="1" applyAlignment="1">
      <alignment vertical="center" wrapText="1"/>
    </xf>
    <xf numFmtId="179" fontId="0" fillId="2" borderId="40" xfId="0" applyNumberFormat="1" applyFill="1" applyBorder="1" applyAlignment="1">
      <alignment vertical="center" wrapText="1"/>
    </xf>
    <xf numFmtId="179" fontId="0" fillId="2" borderId="4" xfId="0" applyNumberFormat="1" applyFill="1" applyBorder="1" applyAlignment="1">
      <alignment vertical="center" wrapText="1"/>
    </xf>
    <xf numFmtId="179" fontId="0" fillId="2" borderId="6" xfId="0" applyNumberFormat="1" applyFill="1" applyBorder="1" applyAlignment="1">
      <alignment vertical="center" wrapText="1"/>
    </xf>
    <xf numFmtId="179" fontId="0" fillId="2" borderId="30" xfId="0" applyNumberFormat="1" applyFill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9" fontId="0" fillId="0" borderId="27" xfId="3" applyFont="1" applyBorder="1" applyAlignment="1" applyProtection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36" xfId="3" applyFont="1" applyBorder="1" applyAlignment="1" applyProtection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9" fontId="0" fillId="0" borderId="71" xfId="3" applyFont="1" applyBorder="1" applyAlignment="1" applyProtection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2" borderId="1" xfId="0" applyFill="1" applyBorder="1" applyAlignment="1" applyProtection="1">
      <alignment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179" fontId="0" fillId="2" borderId="29" xfId="0" applyNumberFormat="1" applyFill="1" applyBorder="1" applyAlignment="1" applyProtection="1">
      <alignment vertical="center" wrapText="1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vertical="center" wrapText="1"/>
      <protection locked="0"/>
    </xf>
    <xf numFmtId="0" fontId="6" fillId="0" borderId="16" xfId="4" applyBorder="1">
      <alignment vertical="center"/>
    </xf>
    <xf numFmtId="0" fontId="6" fillId="0" borderId="34" xfId="4" applyBorder="1">
      <alignment vertical="center"/>
    </xf>
    <xf numFmtId="0" fontId="6" fillId="0" borderId="15" xfId="4" applyBorder="1">
      <alignment vertical="center"/>
    </xf>
    <xf numFmtId="0" fontId="6" fillId="0" borderId="0" xfId="4" applyAlignment="1">
      <alignment horizontal="center" vertical="center"/>
    </xf>
    <xf numFmtId="0" fontId="6" fillId="0" borderId="0" xfId="4">
      <alignment vertical="center"/>
    </xf>
    <xf numFmtId="0" fontId="6" fillId="0" borderId="2" xfId="4" applyBorder="1">
      <alignment vertical="center"/>
    </xf>
    <xf numFmtId="9" fontId="6" fillId="0" borderId="4" xfId="4" applyNumberFormat="1" applyBorder="1">
      <alignment vertical="center"/>
    </xf>
    <xf numFmtId="0" fontId="6" fillId="0" borderId="50" xfId="4" applyBorder="1">
      <alignment vertical="center"/>
    </xf>
    <xf numFmtId="0" fontId="6" fillId="0" borderId="48" xfId="4" applyBorder="1">
      <alignment vertical="center"/>
    </xf>
    <xf numFmtId="0" fontId="6" fillId="0" borderId="69" xfId="4" applyBorder="1">
      <alignment vertical="center"/>
    </xf>
    <xf numFmtId="9" fontId="6" fillId="0" borderId="70" xfId="4" applyNumberFormat="1" applyBorder="1">
      <alignment vertical="center"/>
    </xf>
    <xf numFmtId="0" fontId="6" fillId="0" borderId="5" xfId="4" applyBorder="1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2" borderId="1" xfId="4" applyFill="1" applyBorder="1" applyAlignment="1">
      <alignment horizontal="center" vertical="center"/>
    </xf>
    <xf numFmtId="10" fontId="0" fillId="0" borderId="1" xfId="6" applyNumberFormat="1" applyFont="1" applyBorder="1" applyAlignment="1">
      <alignment horizontal="center" vertical="center"/>
    </xf>
    <xf numFmtId="0" fontId="6" fillId="0" borderId="83" xfId="4" applyBorder="1" applyAlignment="1">
      <alignment horizontal="center" vertical="center"/>
    </xf>
    <xf numFmtId="0" fontId="6" fillId="0" borderId="84" xfId="4" applyBorder="1" applyAlignment="1">
      <alignment horizontal="center" vertical="center"/>
    </xf>
    <xf numFmtId="0" fontId="6" fillId="0" borderId="5" xfId="4" applyBorder="1">
      <alignment vertical="center"/>
    </xf>
    <xf numFmtId="184" fontId="6" fillId="0" borderId="6" xfId="4" applyNumberFormat="1" applyBorder="1">
      <alignment vertical="center"/>
    </xf>
    <xf numFmtId="9" fontId="6" fillId="0" borderId="6" xfId="4" applyNumberFormat="1" applyBorder="1">
      <alignment vertical="center"/>
    </xf>
    <xf numFmtId="0" fontId="6" fillId="0" borderId="7" xfId="4" applyBorder="1" applyAlignment="1">
      <alignment horizontal="center" vertical="center"/>
    </xf>
    <xf numFmtId="0" fontId="6" fillId="0" borderId="8" xfId="4" applyBorder="1" applyAlignment="1">
      <alignment horizontal="center" vertical="center"/>
    </xf>
    <xf numFmtId="0" fontId="6" fillId="2" borderId="8" xfId="4" applyFill="1" applyBorder="1" applyAlignment="1">
      <alignment horizontal="center" vertical="center"/>
    </xf>
    <xf numFmtId="0" fontId="6" fillId="0" borderId="85" xfId="4" applyBorder="1" applyAlignment="1">
      <alignment horizontal="center" vertical="center"/>
    </xf>
    <xf numFmtId="10" fontId="0" fillId="0" borderId="8" xfId="6" applyNumberFormat="1" applyFont="1" applyBorder="1" applyAlignment="1">
      <alignment horizontal="center" vertical="center"/>
    </xf>
    <xf numFmtId="0" fontId="6" fillId="0" borderId="9" xfId="4" applyBorder="1" applyAlignment="1">
      <alignment horizontal="center" vertical="center"/>
    </xf>
    <xf numFmtId="9" fontId="14" fillId="0" borderId="6" xfId="4" applyNumberFormat="1" applyFont="1" applyBorder="1">
      <alignment vertical="center"/>
    </xf>
    <xf numFmtId="9" fontId="6" fillId="0" borderId="29" xfId="4" applyNumberFormat="1" applyBorder="1" applyAlignment="1">
      <alignment horizontal="center" vertical="center" wrapText="1"/>
    </xf>
    <xf numFmtId="185" fontId="0" fillId="0" borderId="1" xfId="6" applyNumberFormat="1" applyFont="1" applyBorder="1" applyAlignment="1">
      <alignment horizontal="center" vertical="center"/>
    </xf>
    <xf numFmtId="0" fontId="6" fillId="0" borderId="6" xfId="4" applyBorder="1" applyAlignment="1">
      <alignment horizontal="center" vertical="center"/>
    </xf>
    <xf numFmtId="184" fontId="0" fillId="0" borderId="1" xfId="6" applyNumberFormat="1" applyFont="1" applyBorder="1" applyAlignment="1">
      <alignment horizontal="center" vertical="center"/>
    </xf>
    <xf numFmtId="9" fontId="6" fillId="4" borderId="29" xfId="4" applyNumberFormat="1" applyFill="1" applyBorder="1" applyAlignment="1">
      <alignment horizontal="center" vertical="center" wrapText="1"/>
    </xf>
    <xf numFmtId="0" fontId="6" fillId="0" borderId="12" xfId="4" applyBorder="1" applyAlignment="1">
      <alignment horizontal="center" vertical="center"/>
    </xf>
    <xf numFmtId="0" fontId="6" fillId="2" borderId="12" xfId="4" applyFill="1" applyBorder="1" applyAlignment="1">
      <alignment horizontal="center" vertical="center"/>
    </xf>
    <xf numFmtId="185" fontId="0" fillId="0" borderId="12" xfId="6" applyNumberFormat="1" applyFont="1" applyBorder="1" applyAlignment="1">
      <alignment horizontal="center" vertical="center"/>
    </xf>
    <xf numFmtId="0" fontId="6" fillId="0" borderId="70" xfId="4" applyBorder="1" applyAlignment="1">
      <alignment horizontal="center" vertical="center"/>
    </xf>
    <xf numFmtId="9" fontId="6" fillId="0" borderId="1" xfId="4" applyNumberFormat="1" applyBorder="1" applyAlignment="1">
      <alignment horizontal="center" vertical="center"/>
    </xf>
    <xf numFmtId="179" fontId="6" fillId="0" borderId="1" xfId="4" applyNumberFormat="1" applyBorder="1" applyAlignment="1">
      <alignment horizontal="center" vertical="center"/>
    </xf>
    <xf numFmtId="9" fontId="0" fillId="0" borderId="0" xfId="6" applyFont="1" applyAlignment="1">
      <alignment horizontal="center" vertical="center"/>
    </xf>
    <xf numFmtId="0" fontId="6" fillId="0" borderId="7" xfId="4" applyBorder="1">
      <alignment vertical="center"/>
    </xf>
    <xf numFmtId="185" fontId="6" fillId="0" borderId="1" xfId="6" applyNumberFormat="1" applyFont="1" applyFill="1" applyBorder="1" applyAlignment="1">
      <alignment horizontal="center" vertical="center"/>
    </xf>
    <xf numFmtId="9" fontId="6" fillId="0" borderId="5" xfId="4" applyNumberFormat="1" applyBorder="1" applyAlignment="1">
      <alignment horizontal="center" vertical="center" wrapText="1"/>
    </xf>
    <xf numFmtId="9" fontId="6" fillId="4" borderId="5" xfId="4" applyNumberFormat="1" applyFill="1" applyBorder="1" applyAlignment="1">
      <alignment horizontal="center" vertical="center" wrapText="1"/>
    </xf>
    <xf numFmtId="9" fontId="6" fillId="4" borderId="7" xfId="4" applyNumberFormat="1" applyFill="1" applyBorder="1" applyAlignment="1">
      <alignment horizontal="center" vertical="center" wrapText="1"/>
    </xf>
    <xf numFmtId="185" fontId="0" fillId="0" borderId="8" xfId="6" applyNumberFormat="1" applyFont="1" applyBorder="1" applyAlignment="1">
      <alignment horizontal="center" vertical="center"/>
    </xf>
    <xf numFmtId="185" fontId="6" fillId="0" borderId="8" xfId="6" applyNumberFormat="1" applyFont="1" applyFill="1" applyBorder="1" applyAlignment="1">
      <alignment horizontal="center" vertical="center"/>
    </xf>
    <xf numFmtId="185" fontId="0" fillId="0" borderId="1" xfId="6" applyNumberFormat="1" applyFont="1" applyFill="1" applyBorder="1" applyAlignment="1">
      <alignment horizontal="center" vertical="center"/>
    </xf>
    <xf numFmtId="185" fontId="0" fillId="0" borderId="12" xfId="6" applyNumberFormat="1" applyFont="1" applyFill="1" applyBorder="1" applyAlignment="1">
      <alignment horizontal="center" vertical="center"/>
    </xf>
    <xf numFmtId="9" fontId="6" fillId="0" borderId="8" xfId="4" applyNumberFormat="1" applyBorder="1" applyAlignment="1">
      <alignment horizontal="center" vertical="center"/>
    </xf>
    <xf numFmtId="179" fontId="6" fillId="0" borderId="8" xfId="4" applyNumberFormat="1" applyBorder="1" applyAlignment="1">
      <alignment horizontal="center" vertical="center"/>
    </xf>
    <xf numFmtId="2" fontId="6" fillId="2" borderId="1" xfId="4" applyNumberFormat="1" applyFill="1" applyBorder="1" applyAlignment="1">
      <alignment horizontal="center" vertical="center"/>
    </xf>
    <xf numFmtId="2" fontId="6" fillId="2" borderId="8" xfId="4" applyNumberFormat="1" applyFill="1" applyBorder="1" applyAlignment="1">
      <alignment horizontal="center" vertical="center"/>
    </xf>
    <xf numFmtId="0" fontId="6" fillId="0" borderId="0" xfId="4" applyAlignment="1">
      <alignment horizontal="center" vertical="center" wrapText="1"/>
    </xf>
    <xf numFmtId="0" fontId="6" fillId="0" borderId="0" xfId="4" applyAlignment="1">
      <alignment vertical="center" wrapText="1"/>
    </xf>
    <xf numFmtId="0" fontId="6" fillId="0" borderId="1" xfId="4" applyBorder="1" applyAlignment="1">
      <alignment horizontal="center" vertical="center" wrapText="1"/>
    </xf>
    <xf numFmtId="0" fontId="6" fillId="2" borderId="1" xfId="4" applyFill="1" applyBorder="1" applyAlignment="1">
      <alignment horizontal="center" vertical="center" wrapText="1"/>
    </xf>
    <xf numFmtId="0" fontId="6" fillId="0" borderId="12" xfId="4" applyBorder="1" applyAlignment="1">
      <alignment horizontal="center" vertical="center" wrapText="1"/>
    </xf>
    <xf numFmtId="0" fontId="6" fillId="2" borderId="12" xfId="4" applyFill="1" applyBorder="1" applyAlignment="1">
      <alignment horizontal="center" vertical="center" wrapText="1"/>
    </xf>
    <xf numFmtId="0" fontId="28" fillId="0" borderId="0" xfId="4" applyFont="1" applyAlignment="1">
      <alignment vertical="center" wrapText="1"/>
    </xf>
    <xf numFmtId="0" fontId="6" fillId="0" borderId="8" xfId="4" applyBorder="1" applyAlignment="1">
      <alignment horizontal="center" vertical="center" wrapText="1"/>
    </xf>
    <xf numFmtId="0" fontId="6" fillId="2" borderId="8" xfId="4" applyFill="1" applyBorder="1" applyAlignment="1">
      <alignment horizontal="center" vertical="center" wrapText="1"/>
    </xf>
    <xf numFmtId="9" fontId="6" fillId="0" borderId="69" xfId="4" applyNumberFormat="1" applyBorder="1" applyAlignment="1">
      <alignment horizontal="center" vertical="center" wrapText="1"/>
    </xf>
    <xf numFmtId="9" fontId="6" fillId="0" borderId="12" xfId="4" applyNumberFormat="1" applyBorder="1" applyAlignment="1">
      <alignment horizontal="center" vertical="center"/>
    </xf>
    <xf numFmtId="179" fontId="6" fillId="0" borderId="12" xfId="4" applyNumberFormat="1" applyBorder="1" applyAlignment="1">
      <alignment horizontal="center" vertical="center"/>
    </xf>
    <xf numFmtId="9" fontId="6" fillId="0" borderId="7" xfId="4" applyNumberFormat="1" applyBorder="1" applyAlignment="1">
      <alignment horizontal="center" vertical="center" wrapText="1"/>
    </xf>
    <xf numFmtId="9" fontId="6" fillId="4" borderId="2" xfId="4" applyNumberFormat="1" applyFill="1" applyBorder="1" applyAlignment="1">
      <alignment horizontal="center" vertical="center" wrapText="1"/>
    </xf>
    <xf numFmtId="2" fontId="6" fillId="2" borderId="3" xfId="4" applyNumberFormat="1" applyFill="1" applyBorder="1" applyAlignment="1">
      <alignment horizontal="center" vertical="center"/>
    </xf>
    <xf numFmtId="185" fontId="6" fillId="0" borderId="3" xfId="6" applyNumberFormat="1" applyFont="1" applyFill="1" applyBorder="1" applyAlignment="1">
      <alignment horizontal="center" vertical="center"/>
    </xf>
    <xf numFmtId="0" fontId="6" fillId="0" borderId="3" xfId="4" applyBorder="1" applyAlignment="1">
      <alignment horizontal="center" vertical="center"/>
    </xf>
    <xf numFmtId="0" fontId="6" fillId="0" borderId="4" xfId="4" applyBorder="1" applyAlignment="1">
      <alignment horizontal="center" vertical="center"/>
    </xf>
    <xf numFmtId="9" fontId="6" fillId="0" borderId="30" xfId="4" applyNumberFormat="1" applyBorder="1" applyAlignment="1">
      <alignment horizontal="center" vertical="center" wrapText="1"/>
    </xf>
    <xf numFmtId="0" fontId="6" fillId="0" borderId="13" xfId="4" applyBorder="1" applyAlignment="1">
      <alignment horizontal="center" vertical="center" wrapText="1"/>
    </xf>
    <xf numFmtId="0" fontId="6" fillId="0" borderId="38" xfId="4" applyBorder="1" applyAlignment="1">
      <alignment horizontal="center" vertical="center" wrapText="1"/>
    </xf>
    <xf numFmtId="0" fontId="6" fillId="0" borderId="4" xfId="4" applyBorder="1">
      <alignment vertical="center"/>
    </xf>
    <xf numFmtId="0" fontId="6" fillId="0" borderId="6" xfId="4" applyBorder="1">
      <alignment vertical="center"/>
    </xf>
    <xf numFmtId="0" fontId="6" fillId="0" borderId="9" xfId="4" applyBorder="1">
      <alignment vertical="center"/>
    </xf>
    <xf numFmtId="179" fontId="0" fillId="2" borderId="1" xfId="0" applyNumberFormat="1" applyFill="1" applyBorder="1" applyAlignment="1" applyProtection="1">
      <alignment vertical="center" wrapText="1"/>
      <protection locked="0"/>
    </xf>
    <xf numFmtId="0" fontId="6" fillId="0" borderId="31" xfId="4" applyBorder="1" applyAlignment="1">
      <alignment horizontal="center" vertical="center"/>
    </xf>
    <xf numFmtId="9" fontId="6" fillId="0" borderId="15" xfId="4" applyNumberFormat="1" applyBorder="1">
      <alignment vertical="center"/>
    </xf>
    <xf numFmtId="179" fontId="0" fillId="2" borderId="12" xfId="0" applyNumberFormat="1" applyFill="1" applyBorder="1" applyAlignment="1" applyProtection="1">
      <alignment vertical="center" wrapText="1"/>
      <protection locked="0"/>
    </xf>
    <xf numFmtId="9" fontId="0" fillId="4" borderId="12" xfId="0" applyNumberFormat="1" applyFill="1" applyBorder="1" applyAlignment="1">
      <alignment vertical="center" wrapText="1"/>
    </xf>
    <xf numFmtId="0" fontId="0" fillId="2" borderId="6" xfId="0" applyFill="1" applyBorder="1" applyAlignment="1" applyProtection="1">
      <alignment vertical="center" wrapText="1"/>
      <protection locked="0"/>
    </xf>
    <xf numFmtId="179" fontId="0" fillId="0" borderId="1" xfId="0" applyNumberFormat="1" applyBorder="1" applyAlignment="1" applyProtection="1">
      <alignment vertical="center" wrapText="1"/>
      <protection locked="0"/>
    </xf>
    <xf numFmtId="0" fontId="0" fillId="0" borderId="20" xfId="0" applyBorder="1" applyProtection="1">
      <alignment vertical="center"/>
      <protection locked="0"/>
    </xf>
    <xf numFmtId="0" fontId="0" fillId="0" borderId="19" xfId="0" applyBorder="1" applyProtection="1">
      <alignment vertical="center"/>
      <protection locked="0"/>
    </xf>
    <xf numFmtId="0" fontId="0" fillId="0" borderId="21" xfId="0" applyBorder="1" applyProtection="1">
      <alignment vertical="center"/>
      <protection locked="0"/>
    </xf>
    <xf numFmtId="0" fontId="0" fillId="7" borderId="22" xfId="0" applyFill="1" applyBorder="1" applyAlignment="1" applyProtection="1">
      <alignment horizontal="center" vertical="center"/>
      <protection locked="0"/>
    </xf>
    <xf numFmtId="0" fontId="0" fillId="0" borderId="23" xfId="0" applyBorder="1" applyProtection="1">
      <alignment vertical="center"/>
      <protection locked="0"/>
    </xf>
    <xf numFmtId="0" fontId="0" fillId="0" borderId="22" xfId="0" applyBorder="1" applyProtection="1">
      <alignment vertical="center"/>
      <protection locked="0"/>
    </xf>
    <xf numFmtId="0" fontId="0" fillId="0" borderId="24" xfId="0" applyBorder="1" applyProtection="1">
      <alignment vertical="center"/>
      <protection locked="0"/>
    </xf>
    <xf numFmtId="0" fontId="0" fillId="0" borderId="14" xfId="0" applyBorder="1" applyProtection="1">
      <alignment vertical="center"/>
      <protection locked="0"/>
    </xf>
    <xf numFmtId="0" fontId="0" fillId="0" borderId="25" xfId="0" applyBorder="1" applyProtection="1">
      <alignment vertical="center"/>
      <protection locked="0"/>
    </xf>
    <xf numFmtId="0" fontId="12" fillId="0" borderId="19" xfId="0" applyFont="1" applyBorder="1" applyAlignment="1" applyProtection="1">
      <alignment vertical="top" wrapText="1"/>
      <protection locked="0"/>
    </xf>
    <xf numFmtId="0" fontId="0" fillId="0" borderId="21" xfId="0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23" xfId="0" applyBorder="1" applyAlignment="1" applyProtection="1">
      <alignment vertical="top"/>
      <protection locked="0"/>
    </xf>
    <xf numFmtId="0" fontId="0" fillId="0" borderId="19" xfId="0" applyBorder="1">
      <alignment vertical="center"/>
    </xf>
    <xf numFmtId="0" fontId="0" fillId="0" borderId="14" xfId="0" applyBorder="1">
      <alignment vertical="center"/>
    </xf>
    <xf numFmtId="0" fontId="0" fillId="6" borderId="76" xfId="0" applyFill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9" xfId="0" applyBorder="1" applyAlignment="1">
      <alignment horizontal="right" vertical="center" wrapText="1"/>
    </xf>
    <xf numFmtId="9" fontId="0" fillId="4" borderId="30" xfId="0" applyNumberFormat="1" applyFill="1" applyBorder="1" applyAlignment="1">
      <alignment horizontal="right" vertical="center" wrapText="1"/>
    </xf>
    <xf numFmtId="0" fontId="0" fillId="0" borderId="19" xfId="0" applyBorder="1" applyAlignment="1" applyProtection="1">
      <alignment vertical="top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9" fontId="0" fillId="4" borderId="8" xfId="0" applyNumberFormat="1" applyFill="1" applyBorder="1" applyAlignment="1">
      <alignment horizontal="right" vertical="center" wrapText="1"/>
    </xf>
    <xf numFmtId="179" fontId="0" fillId="0" borderId="8" xfId="0" applyNumberFormat="1" applyBorder="1" applyAlignment="1">
      <alignment vertical="center" wrapText="1"/>
    </xf>
    <xf numFmtId="178" fontId="0" fillId="2" borderId="8" xfId="0" applyNumberFormat="1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0" fillId="0" borderId="8" xfId="3" applyNumberFormat="1" applyFont="1" applyBorder="1" applyAlignment="1" applyProtection="1">
      <alignment horizontal="right" vertical="center" wrapText="1"/>
    </xf>
    <xf numFmtId="0" fontId="5" fillId="0" borderId="0" xfId="0" applyFont="1" applyAlignment="1">
      <alignment vertical="top" wrapText="1"/>
    </xf>
    <xf numFmtId="0" fontId="0" fillId="0" borderId="49" xfId="0" applyBorder="1" applyAlignment="1">
      <alignment horizontal="center" vertical="center" wrapText="1"/>
    </xf>
    <xf numFmtId="9" fontId="0" fillId="4" borderId="30" xfId="0" applyNumberFormat="1" applyFill="1" applyBorder="1" applyAlignment="1">
      <alignment vertical="center" wrapText="1"/>
    </xf>
    <xf numFmtId="179" fontId="0" fillId="2" borderId="30" xfId="0" applyNumberFormat="1" applyFill="1" applyBorder="1" applyAlignment="1" applyProtection="1">
      <alignment vertical="center" wrapText="1"/>
      <protection locked="0"/>
    </xf>
    <xf numFmtId="179" fontId="0" fillId="2" borderId="70" xfId="0" applyNumberFormat="1" applyFill="1" applyBorder="1" applyAlignment="1">
      <alignment vertical="center" wrapText="1"/>
    </xf>
    <xf numFmtId="179" fontId="0" fillId="4" borderId="29" xfId="0" applyNumberFormat="1" applyFill="1" applyBorder="1" applyAlignment="1">
      <alignment vertical="center" wrapText="1"/>
    </xf>
    <xf numFmtId="179" fontId="0" fillId="4" borderId="29" xfId="0" applyNumberFormat="1" applyFill="1" applyBorder="1" applyAlignment="1" applyProtection="1">
      <alignment vertical="center" wrapText="1"/>
      <protection locked="0"/>
    </xf>
    <xf numFmtId="0" fontId="0" fillId="2" borderId="7" xfId="0" applyFill="1" applyBorder="1" applyAlignment="1">
      <alignment vertical="center" wrapText="1"/>
    </xf>
    <xf numFmtId="178" fontId="0" fillId="0" borderId="8" xfId="0" applyNumberFormat="1" applyBorder="1" applyAlignment="1">
      <alignment vertical="center" wrapText="1"/>
    </xf>
    <xf numFmtId="178" fontId="0" fillId="0" borderId="9" xfId="0" applyNumberFormat="1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49" fontId="0" fillId="0" borderId="7" xfId="0" applyNumberFormat="1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49" fontId="0" fillId="0" borderId="9" xfId="0" applyNumberFormat="1" applyBorder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0" borderId="70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7" borderId="0" xfId="0" applyFill="1" applyAlignment="1" applyProtection="1">
      <alignment horizontal="center" vertical="center"/>
      <protection locked="0"/>
    </xf>
    <xf numFmtId="0" fontId="0" fillId="2" borderId="27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69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4" borderId="8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0" fillId="0" borderId="7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0" fillId="0" borderId="27" xfId="3" applyFont="1" applyBorder="1" applyAlignment="1" applyProtection="1">
      <alignment horizontal="center" vertical="center" wrapText="1"/>
    </xf>
    <xf numFmtId="9" fontId="0" fillId="0" borderId="67" xfId="3" applyFont="1" applyBorder="1" applyAlignment="1" applyProtection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6" fillId="0" borderId="3" xfId="4" applyBorder="1" applyAlignment="1">
      <alignment horizontal="left" vertical="center" wrapText="1"/>
    </xf>
    <xf numFmtId="0" fontId="6" fillId="0" borderId="4" xfId="4" applyBorder="1" applyAlignment="1">
      <alignment horizontal="left" vertical="center" wrapText="1"/>
    </xf>
    <xf numFmtId="0" fontId="6" fillId="0" borderId="1" xfId="4" applyBorder="1" applyAlignment="1">
      <alignment horizontal="left" vertical="center" wrapText="1"/>
    </xf>
    <xf numFmtId="0" fontId="6" fillId="0" borderId="6" xfId="4" applyBorder="1" applyAlignment="1">
      <alignment horizontal="left" vertical="center" wrapText="1"/>
    </xf>
    <xf numFmtId="0" fontId="6" fillId="0" borderId="8" xfId="4" applyBorder="1" applyAlignment="1">
      <alignment horizontal="left" vertical="center" wrapText="1"/>
    </xf>
    <xf numFmtId="0" fontId="6" fillId="0" borderId="9" xfId="4" applyBorder="1" applyAlignment="1">
      <alignment horizontal="left" vertical="center" wrapText="1"/>
    </xf>
    <xf numFmtId="0" fontId="0" fillId="3" borderId="8" xfId="0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183" fontId="0" fillId="4" borderId="1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71" xfId="0" applyFill="1" applyBorder="1" applyAlignment="1">
      <alignment horizontal="center" vertical="center" wrapText="1"/>
    </xf>
    <xf numFmtId="0" fontId="0" fillId="2" borderId="8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4" borderId="60" xfId="0" applyFill="1" applyBorder="1" applyAlignment="1">
      <alignment horizontal="center" vertical="center" wrapText="1"/>
    </xf>
    <xf numFmtId="0" fontId="0" fillId="4" borderId="56" xfId="0" applyFill="1" applyBorder="1" applyAlignment="1">
      <alignment horizontal="center" vertical="center" wrapText="1"/>
    </xf>
    <xf numFmtId="0" fontId="0" fillId="4" borderId="57" xfId="0" applyFill="1" applyBorder="1" applyAlignment="1">
      <alignment horizontal="center" vertical="center" wrapText="1"/>
    </xf>
    <xf numFmtId="183" fontId="0" fillId="4" borderId="27" xfId="0" applyNumberFormat="1" applyFill="1" applyBorder="1" applyAlignment="1">
      <alignment horizontal="center" vertical="center"/>
    </xf>
    <xf numFmtId="183" fontId="0" fillId="4" borderId="29" xfId="0" applyNumberFormat="1" applyFill="1" applyBorder="1" applyAlignment="1">
      <alignment horizontal="center" vertical="center"/>
    </xf>
    <xf numFmtId="0" fontId="0" fillId="3" borderId="8" xfId="0" applyFill="1" applyBorder="1" applyAlignment="1" applyProtection="1">
      <alignment horizontal="center" vertical="center" wrapText="1"/>
      <protection locked="0"/>
    </xf>
    <xf numFmtId="0" fontId="0" fillId="3" borderId="5" xfId="0" applyFill="1" applyBorder="1" applyAlignment="1" applyProtection="1">
      <alignment horizontal="center" vertical="center" wrapText="1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0" fillId="4" borderId="8" xfId="0" applyFill="1" applyBorder="1" applyAlignment="1">
      <alignment horizontal="center" vertical="center"/>
    </xf>
    <xf numFmtId="179" fontId="0" fillId="4" borderId="8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73" xfId="0" applyBorder="1" applyAlignment="1">
      <alignment horizontal="left" vertical="center" wrapText="1"/>
    </xf>
    <xf numFmtId="0" fontId="0" fillId="0" borderId="49" xfId="0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77" fontId="0" fillId="4" borderId="8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9" fontId="0" fillId="0" borderId="36" xfId="3" applyFont="1" applyBorder="1" applyAlignment="1" applyProtection="1">
      <alignment horizontal="center" vertical="center" wrapText="1"/>
    </xf>
    <xf numFmtId="9" fontId="0" fillId="0" borderId="65" xfId="3" applyFont="1" applyBorder="1" applyAlignment="1" applyProtection="1">
      <alignment horizontal="center" vertical="center" wrapText="1"/>
    </xf>
    <xf numFmtId="0" fontId="0" fillId="0" borderId="64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177" fontId="0" fillId="2" borderId="8" xfId="0" applyNumberFormat="1" applyFill="1" applyBorder="1" applyAlignment="1">
      <alignment horizontal="center" vertical="top" wrapText="1"/>
    </xf>
    <xf numFmtId="0" fontId="0" fillId="0" borderId="28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75" xfId="0" applyBorder="1" applyAlignment="1">
      <alignment horizontal="left" vertical="center" wrapText="1"/>
    </xf>
    <xf numFmtId="0" fontId="0" fillId="2" borderId="64" xfId="0" applyFill="1" applyBorder="1" applyAlignment="1">
      <alignment vertical="center" wrapText="1"/>
    </xf>
    <xf numFmtId="0" fontId="0" fillId="2" borderId="28" xfId="0" applyFill="1" applyBorder="1" applyAlignment="1">
      <alignment vertical="center" wrapText="1"/>
    </xf>
    <xf numFmtId="9" fontId="0" fillId="4" borderId="71" xfId="0" applyNumberFormat="1" applyFill="1" applyBorder="1" applyAlignment="1">
      <alignment horizontal="center" vertical="center" wrapText="1"/>
    </xf>
    <xf numFmtId="9" fontId="0" fillId="4" borderId="30" xfId="0" applyNumberFormat="1" applyFill="1" applyBorder="1" applyAlignment="1">
      <alignment horizontal="center" vertical="center" wrapText="1"/>
    </xf>
    <xf numFmtId="9" fontId="0" fillId="4" borderId="45" xfId="0" applyNumberFormat="1" applyFill="1" applyBorder="1" applyAlignment="1">
      <alignment horizontal="center" vertical="center" wrapText="1"/>
    </xf>
    <xf numFmtId="9" fontId="0" fillId="4" borderId="46" xfId="0" applyNumberForma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49" xfId="0" applyFill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9" fontId="0" fillId="4" borderId="66" xfId="0" applyNumberFormat="1" applyFill="1" applyBorder="1" applyAlignment="1">
      <alignment vertical="center" wrapText="1"/>
    </xf>
    <xf numFmtId="9" fontId="0" fillId="4" borderId="53" xfId="0" applyNumberFormat="1" applyFill="1" applyBorder="1" applyAlignment="1">
      <alignment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177" fontId="0" fillId="4" borderId="8" xfId="0" applyNumberFormat="1" applyFill="1" applyBorder="1" applyAlignment="1">
      <alignment horizontal="center" vertical="top" wrapText="1"/>
    </xf>
    <xf numFmtId="177" fontId="0" fillId="4" borderId="86" xfId="0" applyNumberFormat="1" applyFill="1" applyBorder="1" applyAlignment="1">
      <alignment horizontal="center" vertical="top" wrapText="1"/>
    </xf>
    <xf numFmtId="177" fontId="0" fillId="4" borderId="87" xfId="0" applyNumberFormat="1" applyFill="1" applyBorder="1" applyAlignment="1">
      <alignment horizontal="center" vertical="top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7" fontId="0" fillId="0" borderId="6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8" fontId="0" fillId="0" borderId="8" xfId="0" applyNumberForma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9" fontId="0" fillId="4" borderId="89" xfId="0" applyNumberFormat="1" applyFill="1" applyBorder="1" applyAlignment="1">
      <alignment horizontal="center" vertical="center" wrapText="1"/>
    </xf>
    <xf numFmtId="9" fontId="0" fillId="4" borderId="90" xfId="0" applyNumberFormat="1" applyFill="1" applyBorder="1" applyAlignment="1">
      <alignment horizontal="center" vertical="center" wrapText="1"/>
    </xf>
    <xf numFmtId="9" fontId="0" fillId="4" borderId="91" xfId="0" applyNumberFormat="1" applyFill="1" applyBorder="1" applyAlignment="1">
      <alignment horizontal="center" vertical="center" wrapText="1"/>
    </xf>
    <xf numFmtId="9" fontId="0" fillId="4" borderId="92" xfId="0" applyNumberFormat="1" applyFill="1" applyBorder="1" applyAlignment="1">
      <alignment horizontal="center" vertical="center" wrapText="1"/>
    </xf>
    <xf numFmtId="9" fontId="0" fillId="4" borderId="55" xfId="0" applyNumberFormat="1" applyFill="1" applyBorder="1" applyAlignment="1">
      <alignment horizontal="center" vertical="center" wrapText="1"/>
    </xf>
    <xf numFmtId="9" fontId="0" fillId="4" borderId="93" xfId="0" applyNumberFormat="1" applyFill="1" applyBorder="1" applyAlignment="1">
      <alignment horizontal="center" vertical="center" wrapText="1"/>
    </xf>
    <xf numFmtId="0" fontId="0" fillId="0" borderId="66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5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45" xfId="0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5" fillId="0" borderId="72" xfId="0" applyFont="1" applyBorder="1" applyAlignment="1">
      <alignment horizontal="left" vertical="center" wrapText="1"/>
    </xf>
    <xf numFmtId="0" fontId="8" fillId="0" borderId="42" xfId="2" applyBorder="1" applyAlignment="1" applyProtection="1">
      <alignment horizontal="center" vertical="center" wrapText="1"/>
    </xf>
    <xf numFmtId="0" fontId="8" fillId="0" borderId="47" xfId="2" applyBorder="1" applyAlignment="1" applyProtection="1">
      <alignment horizontal="center" vertical="center" wrapText="1"/>
    </xf>
    <xf numFmtId="0" fontId="8" fillId="0" borderId="43" xfId="2" applyBorder="1" applyAlignment="1" applyProtection="1">
      <alignment horizontal="center" vertical="center" wrapText="1"/>
    </xf>
    <xf numFmtId="0" fontId="8" fillId="0" borderId="44" xfId="2" applyBorder="1" applyAlignment="1" applyProtection="1">
      <alignment horizontal="center" vertical="center" wrapText="1"/>
    </xf>
    <xf numFmtId="0" fontId="8" fillId="0" borderId="45" xfId="2" applyBorder="1" applyAlignment="1" applyProtection="1">
      <alignment horizontal="center" vertical="center" wrapText="1"/>
    </xf>
    <xf numFmtId="0" fontId="8" fillId="0" borderId="46" xfId="2" applyBorder="1" applyAlignment="1" applyProtection="1">
      <alignment horizontal="center" vertical="center" wrapText="1"/>
    </xf>
    <xf numFmtId="0" fontId="0" fillId="0" borderId="67" xfId="0" applyBorder="1" applyAlignment="1">
      <alignment horizontal="left" vertical="center" wrapText="1"/>
    </xf>
    <xf numFmtId="0" fontId="0" fillId="4" borderId="11" xfId="0" applyFill="1" applyBorder="1">
      <alignment vertical="center"/>
    </xf>
    <xf numFmtId="0" fontId="0" fillId="4" borderId="26" xfId="0" applyFill="1" applyBorder="1">
      <alignment vertical="center"/>
    </xf>
    <xf numFmtId="0" fontId="0" fillId="4" borderId="66" xfId="0" applyFill="1" applyBorder="1">
      <alignment vertical="center"/>
    </xf>
    <xf numFmtId="0" fontId="0" fillId="4" borderId="41" xfId="0" applyFill="1" applyBorder="1">
      <alignment vertical="center"/>
    </xf>
    <xf numFmtId="0" fontId="0" fillId="4" borderId="52" xfId="0" applyFill="1" applyBorder="1" applyProtection="1">
      <alignment vertical="center"/>
      <protection locked="0"/>
    </xf>
    <xf numFmtId="0" fontId="0" fillId="4" borderId="30" xfId="0" applyFill="1" applyBorder="1" applyProtection="1">
      <alignment vertical="center"/>
      <protection locked="0"/>
    </xf>
    <xf numFmtId="0" fontId="0" fillId="4" borderId="74" xfId="0" applyFill="1" applyBorder="1" applyProtection="1">
      <alignment vertical="center"/>
      <protection locked="0"/>
    </xf>
    <xf numFmtId="0" fontId="0" fillId="4" borderId="40" xfId="0" applyFill="1" applyBorder="1" applyProtection="1">
      <alignment vertical="center"/>
      <protection locked="0"/>
    </xf>
    <xf numFmtId="177" fontId="0" fillId="4" borderId="64" xfId="0" applyNumberFormat="1" applyFill="1" applyBorder="1" applyProtection="1">
      <alignment vertical="center"/>
      <protection locked="0"/>
    </xf>
    <xf numFmtId="177" fontId="0" fillId="4" borderId="29" xfId="0" applyNumberFormat="1" applyFill="1" applyBorder="1" applyProtection="1">
      <alignment vertical="center"/>
      <protection locked="0"/>
    </xf>
    <xf numFmtId="0" fontId="0" fillId="4" borderId="11" xfId="0" applyFill="1" applyBorder="1" applyAlignment="1" applyProtection="1">
      <alignment horizontal="center" vertical="center"/>
      <protection locked="0"/>
    </xf>
    <xf numFmtId="0" fontId="0" fillId="4" borderId="51" xfId="0" applyFill="1" applyBorder="1" applyAlignment="1" applyProtection="1">
      <alignment horizontal="center" vertical="center"/>
      <protection locked="0"/>
    </xf>
    <xf numFmtId="0" fontId="0" fillId="4" borderId="68" xfId="0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6" fillId="4" borderId="9" xfId="0" applyFont="1" applyFill="1" applyBorder="1" applyAlignment="1">
      <alignment horizontal="left" vertical="top" wrapText="1"/>
    </xf>
    <xf numFmtId="0" fontId="6" fillId="4" borderId="22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23" xfId="0" applyFill="1" applyBorder="1" applyAlignment="1">
      <alignment horizontal="left" vertical="center" wrapText="1"/>
    </xf>
    <xf numFmtId="0" fontId="0" fillId="4" borderId="22" xfId="0" applyFill="1" applyBorder="1" applyAlignment="1">
      <alignment horizontal="left" vertical="center" wrapText="1"/>
    </xf>
    <xf numFmtId="0" fontId="0" fillId="4" borderId="24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vertical="center" wrapText="1"/>
    </xf>
    <xf numFmtId="0" fontId="0" fillId="4" borderId="69" xfId="0" applyFill="1" applyBorder="1" applyAlignment="1">
      <alignment horizontal="left" vertical="center"/>
    </xf>
    <xf numFmtId="0" fontId="0" fillId="4" borderId="50" xfId="0" applyFill="1" applyBorder="1" applyAlignment="1">
      <alignment horizontal="left" vertical="center"/>
    </xf>
    <xf numFmtId="0" fontId="0" fillId="4" borderId="39" xfId="0" applyFill="1" applyBorder="1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177" fontId="0" fillId="4" borderId="66" xfId="0" applyNumberFormat="1" applyFill="1" applyBorder="1" applyProtection="1">
      <alignment vertical="center"/>
      <protection locked="0"/>
    </xf>
    <xf numFmtId="177" fontId="0" fillId="4" borderId="41" xfId="0" applyNumberFormat="1" applyFill="1" applyBorder="1" applyProtection="1">
      <alignment vertical="center"/>
      <protection locked="0"/>
    </xf>
    <xf numFmtId="0" fontId="3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left" vertical="top" wrapText="1"/>
      <protection locked="0"/>
    </xf>
    <xf numFmtId="0" fontId="0" fillId="0" borderId="27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0" fillId="0" borderId="27" xfId="0" applyBorder="1" applyAlignment="1" applyProtection="1">
      <alignment horizontal="right" vertical="center"/>
      <protection locked="0"/>
    </xf>
    <xf numFmtId="0" fontId="0" fillId="0" borderId="29" xfId="0" applyBorder="1" applyAlignment="1" applyProtection="1">
      <alignment horizontal="right" vertical="center"/>
      <protection locked="0"/>
    </xf>
    <xf numFmtId="0" fontId="0" fillId="0" borderId="71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2" fontId="0" fillId="0" borderId="37" xfId="0" applyNumberFormat="1" applyBorder="1">
      <alignment vertical="center"/>
    </xf>
    <xf numFmtId="2" fontId="0" fillId="0" borderId="40" xfId="0" applyNumberFormat="1" applyBorder="1">
      <alignment vertical="center"/>
    </xf>
    <xf numFmtId="2" fontId="0" fillId="0" borderId="27" xfId="0" applyNumberFormat="1" applyBorder="1">
      <alignment vertical="center"/>
    </xf>
    <xf numFmtId="2" fontId="0" fillId="0" borderId="29" xfId="0" applyNumberForma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2" fontId="0" fillId="0" borderId="67" xfId="0" applyNumberFormat="1" applyBorder="1">
      <alignment vertical="center"/>
    </xf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27" xfId="0" applyBorder="1">
      <alignment vertical="center"/>
    </xf>
    <xf numFmtId="2" fontId="0" fillId="0" borderId="75" xfId="0" applyNumberFormat="1" applyBorder="1">
      <alignment vertical="center"/>
    </xf>
    <xf numFmtId="0" fontId="0" fillId="0" borderId="68" xfId="0" applyBorder="1" applyAlignment="1">
      <alignment horizontal="center" vertical="center"/>
    </xf>
    <xf numFmtId="0" fontId="0" fillId="0" borderId="63" xfId="0" applyBorder="1">
      <alignment vertical="center"/>
    </xf>
    <xf numFmtId="0" fontId="0" fillId="0" borderId="40" xfId="0" applyBorder="1">
      <alignment vertical="center"/>
    </xf>
    <xf numFmtId="0" fontId="0" fillId="0" borderId="71" xfId="0" applyBorder="1">
      <alignment vertical="center"/>
    </xf>
    <xf numFmtId="0" fontId="0" fillId="0" borderId="30" xfId="0" applyBorder="1">
      <alignment vertical="center"/>
    </xf>
    <xf numFmtId="2" fontId="0" fillId="0" borderId="71" xfId="0" applyNumberFormat="1" applyBorder="1">
      <alignment vertical="center"/>
    </xf>
    <xf numFmtId="2" fontId="0" fillId="0" borderId="82" xfId="0" applyNumberFormat="1" applyBorder="1">
      <alignment vertical="center"/>
    </xf>
    <xf numFmtId="0" fontId="0" fillId="0" borderId="0" xfId="0">
      <alignment vertical="center"/>
    </xf>
    <xf numFmtId="2" fontId="0" fillId="0" borderId="27" xfId="0" applyNumberFormat="1" applyBorder="1" applyAlignment="1">
      <alignment horizontal="right" vertical="center"/>
    </xf>
    <xf numFmtId="2" fontId="0" fillId="0" borderId="29" xfId="0" applyNumberFormat="1" applyBorder="1" applyAlignment="1">
      <alignment horizontal="right" vertical="center"/>
    </xf>
    <xf numFmtId="2" fontId="0" fillId="0" borderId="67" xfId="0" applyNumberFormat="1" applyBorder="1" applyAlignment="1">
      <alignment horizontal="right" vertical="center"/>
    </xf>
    <xf numFmtId="0" fontId="0" fillId="0" borderId="67" xfId="0" applyBorder="1" applyAlignment="1" applyProtection="1">
      <alignment horizontal="right" vertical="center"/>
      <protection locked="0"/>
    </xf>
    <xf numFmtId="2" fontId="0" fillId="0" borderId="43" xfId="0" applyNumberFormat="1" applyBorder="1">
      <alignment vertical="center"/>
    </xf>
    <xf numFmtId="2" fontId="0" fillId="0" borderId="23" xfId="0" applyNumberFormat="1" applyBorder="1">
      <alignment vertical="center"/>
    </xf>
    <xf numFmtId="2" fontId="0" fillId="0" borderId="30" xfId="0" applyNumberFormat="1" applyBorder="1">
      <alignment vertical="center"/>
    </xf>
    <xf numFmtId="0" fontId="0" fillId="0" borderId="36" xfId="0" applyBorder="1" applyAlignment="1" applyProtection="1">
      <alignment horizontal="right" vertical="center"/>
      <protection locked="0"/>
    </xf>
    <xf numFmtId="0" fontId="0" fillId="0" borderId="41" xfId="0" applyBorder="1" applyAlignment="1" applyProtection="1">
      <alignment horizontal="right" vertical="center"/>
      <protection locked="0"/>
    </xf>
    <xf numFmtId="0" fontId="0" fillId="0" borderId="65" xfId="0" applyBorder="1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6" fillId="0" borderId="39" xfId="4" applyBorder="1" applyAlignment="1">
      <alignment horizontal="center" vertical="center"/>
    </xf>
    <xf numFmtId="0" fontId="6" fillId="0" borderId="7" xfId="4" applyBorder="1" applyAlignment="1">
      <alignment horizontal="center" vertical="center"/>
    </xf>
    <xf numFmtId="0" fontId="6" fillId="0" borderId="13" xfId="4" applyBorder="1" applyAlignment="1">
      <alignment horizontal="center" vertical="center"/>
    </xf>
    <xf numFmtId="0" fontId="6" fillId="0" borderId="8" xfId="4" applyBorder="1" applyAlignment="1">
      <alignment horizontal="center" vertical="center"/>
    </xf>
    <xf numFmtId="0" fontId="6" fillId="0" borderId="38" xfId="4" applyBorder="1" applyAlignment="1">
      <alignment horizontal="center" vertical="center" wrapText="1"/>
    </xf>
    <xf numFmtId="0" fontId="6" fillId="0" borderId="9" xfId="4" applyBorder="1" applyAlignment="1">
      <alignment horizontal="center" vertical="center" wrapText="1"/>
    </xf>
    <xf numFmtId="0" fontId="6" fillId="0" borderId="50" xfId="4" applyBorder="1" applyAlignment="1">
      <alignment horizontal="center" vertical="center" wrapText="1"/>
    </xf>
    <xf numFmtId="0" fontId="6" fillId="0" borderId="72" xfId="4" applyBorder="1" applyAlignment="1">
      <alignment horizontal="center" vertical="center" wrapText="1"/>
    </xf>
    <xf numFmtId="0" fontId="6" fillId="0" borderId="4" xfId="4" applyBorder="1" applyAlignment="1">
      <alignment horizontal="center" vertical="center"/>
    </xf>
    <xf numFmtId="0" fontId="6" fillId="0" borderId="6" xfId="4" applyBorder="1" applyAlignment="1">
      <alignment horizontal="center" vertical="center"/>
    </xf>
    <xf numFmtId="0" fontId="6" fillId="0" borderId="2" xfId="4" applyBorder="1" applyAlignment="1">
      <alignment horizontal="center" vertical="center" wrapText="1"/>
    </xf>
    <xf numFmtId="0" fontId="6" fillId="0" borderId="5" xfId="4" applyBorder="1" applyAlignment="1">
      <alignment horizontal="center" vertical="center" wrapText="1"/>
    </xf>
    <xf numFmtId="0" fontId="6" fillId="0" borderId="3" xfId="4" applyBorder="1" applyAlignment="1">
      <alignment horizontal="center" vertical="center" wrapText="1"/>
    </xf>
    <xf numFmtId="0" fontId="6" fillId="0" borderId="1" xfId="4" applyBorder="1" applyAlignment="1">
      <alignment horizontal="center" vertical="center" wrapText="1"/>
    </xf>
    <xf numFmtId="0" fontId="6" fillId="0" borderId="3" xfId="4" applyBorder="1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0" borderId="2" xfId="4" applyBorder="1" applyAlignment="1">
      <alignment horizontal="center" vertical="center"/>
    </xf>
    <xf numFmtId="0" fontId="6" fillId="0" borderId="5" xfId="4" applyBorder="1" applyAlignment="1">
      <alignment horizontal="center" vertical="center"/>
    </xf>
    <xf numFmtId="0" fontId="28" fillId="0" borderId="3" xfId="4" applyFont="1" applyBorder="1" applyAlignment="1">
      <alignment horizontal="center" vertical="center" wrapText="1"/>
    </xf>
    <xf numFmtId="0" fontId="28" fillId="0" borderId="1" xfId="4" applyFont="1" applyBorder="1" applyAlignment="1">
      <alignment horizontal="center" vertical="center" wrapText="1"/>
    </xf>
    <xf numFmtId="0" fontId="28" fillId="0" borderId="8" xfId="4" applyFont="1" applyBorder="1" applyAlignment="1">
      <alignment horizontal="center" vertical="center" wrapText="1"/>
    </xf>
    <xf numFmtId="0" fontId="6" fillId="0" borderId="27" xfId="4" applyBorder="1" applyAlignment="1">
      <alignment horizontal="left" vertical="center" wrapText="1"/>
    </xf>
    <xf numFmtId="0" fontId="6" fillId="0" borderId="36" xfId="4" applyBorder="1" applyAlignment="1">
      <alignment horizontal="left" vertical="center" wrapText="1"/>
    </xf>
    <xf numFmtId="0" fontId="6" fillId="0" borderId="3" xfId="4" applyBorder="1" applyAlignment="1" applyProtection="1">
      <alignment horizontal="center" vertical="center" wrapText="1"/>
      <protection locked="0"/>
    </xf>
    <xf numFmtId="0" fontId="6" fillId="0" borderId="1" xfId="4" applyBorder="1" applyAlignment="1" applyProtection="1">
      <alignment horizontal="center" vertical="center" wrapText="1"/>
      <protection locked="0"/>
    </xf>
    <xf numFmtId="0" fontId="6" fillId="0" borderId="26" xfId="4" applyBorder="1" applyAlignment="1">
      <alignment horizontal="center" vertical="center" wrapText="1"/>
    </xf>
    <xf numFmtId="0" fontId="6" fillId="0" borderId="29" xfId="4" applyBorder="1" applyAlignment="1">
      <alignment horizontal="center" vertical="center" wrapText="1"/>
    </xf>
    <xf numFmtId="0" fontId="6" fillId="0" borderId="13" xfId="4" applyBorder="1" applyAlignment="1">
      <alignment horizontal="center" vertical="center" wrapText="1"/>
    </xf>
    <xf numFmtId="0" fontId="6" fillId="0" borderId="38" xfId="4" applyBorder="1" applyAlignment="1">
      <alignment horizontal="center" vertical="center"/>
    </xf>
    <xf numFmtId="0" fontId="6" fillId="0" borderId="69" xfId="4" applyBorder="1" applyAlignment="1">
      <alignment horizontal="center" vertical="center" wrapText="1"/>
    </xf>
    <xf numFmtId="0" fontId="6" fillId="0" borderId="12" xfId="4" applyBorder="1" applyAlignment="1">
      <alignment horizontal="center" vertical="center" wrapText="1"/>
    </xf>
    <xf numFmtId="0" fontId="6" fillId="0" borderId="12" xfId="4" applyBorder="1" applyAlignment="1">
      <alignment horizontal="center" vertical="center"/>
    </xf>
    <xf numFmtId="0" fontId="6" fillId="0" borderId="70" xfId="4" applyBorder="1" applyAlignment="1">
      <alignment horizontal="center" vertical="center"/>
    </xf>
    <xf numFmtId="0" fontId="6" fillId="0" borderId="40" xfId="4" applyBorder="1" applyAlignment="1" applyProtection="1">
      <alignment horizontal="center" vertical="center" wrapText="1"/>
      <protection locked="0"/>
    </xf>
    <xf numFmtId="0" fontId="6" fillId="0" borderId="29" xfId="4" applyBorder="1" applyAlignment="1" applyProtection="1">
      <alignment horizontal="center" vertical="center" wrapText="1"/>
      <protection locked="0"/>
    </xf>
    <xf numFmtId="0" fontId="6" fillId="0" borderId="48" xfId="4" applyBorder="1" applyAlignment="1">
      <alignment horizontal="center" vertical="center" wrapText="1"/>
    </xf>
    <xf numFmtId="0" fontId="6" fillId="0" borderId="48" xfId="4" applyBorder="1" applyAlignment="1">
      <alignment horizontal="center" vertical="center"/>
    </xf>
    <xf numFmtId="0" fontId="6" fillId="0" borderId="69" xfId="4" applyBorder="1" applyAlignment="1">
      <alignment horizontal="center" vertical="center"/>
    </xf>
    <xf numFmtId="0" fontId="6" fillId="0" borderId="70" xfId="4" applyBorder="1" applyAlignment="1">
      <alignment horizontal="left" vertical="center" wrapText="1"/>
    </xf>
    <xf numFmtId="0" fontId="6" fillId="0" borderId="40" xfId="4" applyBorder="1" applyAlignment="1">
      <alignment horizontal="center" vertical="center" wrapText="1"/>
    </xf>
    <xf numFmtId="0" fontId="6" fillId="0" borderId="17" xfId="4" applyBorder="1" applyAlignment="1">
      <alignment horizontal="center" vertical="center" wrapText="1"/>
    </xf>
    <xf numFmtId="0" fontId="6" fillId="0" borderId="39" xfId="4" applyBorder="1" applyAlignment="1">
      <alignment horizontal="center" vertical="center" wrapText="1"/>
    </xf>
    <xf numFmtId="0" fontId="6" fillId="0" borderId="18" xfId="4" applyBorder="1" applyAlignment="1">
      <alignment horizontal="center" vertical="center" wrapText="1"/>
    </xf>
    <xf numFmtId="0" fontId="6" fillId="0" borderId="39" xfId="4" applyBorder="1" applyAlignment="1" applyProtection="1">
      <alignment horizontal="center" vertical="center" wrapText="1"/>
      <protection locked="0"/>
    </xf>
    <xf numFmtId="0" fontId="6" fillId="0" borderId="5" xfId="4" applyBorder="1" applyAlignment="1" applyProtection="1">
      <alignment horizontal="center" vertical="center" wrapText="1"/>
      <protection locked="0"/>
    </xf>
    <xf numFmtId="0" fontId="6" fillId="0" borderId="26" xfId="4" applyBorder="1" applyAlignment="1" applyProtection="1">
      <alignment horizontal="center" vertical="center" wrapText="1"/>
      <protection locked="0"/>
    </xf>
    <xf numFmtId="0" fontId="6" fillId="0" borderId="18" xfId="4" applyBorder="1" applyAlignment="1">
      <alignment horizontal="center" vertical="center"/>
    </xf>
    <xf numFmtId="0" fontId="6" fillId="0" borderId="2" xfId="4" applyBorder="1" applyAlignment="1" applyProtection="1">
      <alignment horizontal="center" vertical="center" wrapText="1"/>
      <protection locked="0"/>
    </xf>
    <xf numFmtId="0" fontId="6" fillId="0" borderId="76" xfId="4" applyBorder="1" applyAlignment="1">
      <alignment horizontal="center" vertical="center"/>
    </xf>
    <xf numFmtId="0" fontId="6" fillId="0" borderId="81" xfId="4" applyBorder="1" applyAlignment="1">
      <alignment horizontal="center" vertical="center"/>
    </xf>
    <xf numFmtId="0" fontId="6" fillId="0" borderId="77" xfId="4" applyBorder="1" applyAlignment="1">
      <alignment horizontal="center" vertical="center"/>
    </xf>
    <xf numFmtId="0" fontId="6" fillId="0" borderId="4" xfId="4" applyBorder="1" applyAlignment="1" applyProtection="1">
      <alignment horizontal="left" vertical="center" wrapText="1"/>
      <protection locked="0"/>
    </xf>
    <xf numFmtId="0" fontId="6" fillId="0" borderId="6" xfId="4" applyBorder="1" applyAlignment="1" applyProtection="1">
      <alignment horizontal="left" vertical="center" wrapText="1"/>
      <protection locked="0"/>
    </xf>
    <xf numFmtId="0" fontId="6" fillId="0" borderId="27" xfId="4" applyBorder="1" applyAlignment="1" applyProtection="1">
      <alignment horizontal="left" vertical="center" wrapText="1"/>
      <protection locked="0"/>
    </xf>
    <xf numFmtId="0" fontId="6" fillId="0" borderId="70" xfId="4" applyBorder="1" applyAlignment="1" applyProtection="1">
      <alignment horizontal="left" vertical="center" wrapText="1"/>
      <protection locked="0"/>
    </xf>
    <xf numFmtId="0" fontId="6" fillId="0" borderId="13" xfId="4" applyBorder="1" applyAlignment="1" applyProtection="1">
      <alignment horizontal="center" vertical="center" wrapText="1"/>
      <protection locked="0"/>
    </xf>
    <xf numFmtId="0" fontId="6" fillId="0" borderId="42" xfId="4" applyBorder="1" applyAlignment="1">
      <alignment horizontal="center" vertical="center" wrapText="1"/>
    </xf>
    <xf numFmtId="0" fontId="6" fillId="0" borderId="43" xfId="4" applyBorder="1" applyAlignment="1">
      <alignment horizontal="center" vertical="center" wrapText="1"/>
    </xf>
    <xf numFmtId="0" fontId="6" fillId="0" borderId="45" xfId="4" applyBorder="1" applyAlignment="1">
      <alignment horizontal="center" vertical="center" wrapText="1"/>
    </xf>
  </cellXfs>
  <cellStyles count="7">
    <cellStyle name="一般" xfId="0" builtinId="0"/>
    <cellStyle name="一般 2" xfId="1"/>
    <cellStyle name="一般 3" xfId="4"/>
    <cellStyle name="百分比" xfId="3" builtinId="5"/>
    <cellStyle name="百分比 2" xfId="6"/>
    <cellStyle name="超連結" xfId="2" builtinId="8"/>
    <cellStyle name="超連結 2" xfId="5"/>
  </cellStyles>
  <dxfs count="62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strike/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trike/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318704205560576"/>
          <c:y val="4.8246913580246915E-2"/>
          <c:w val="0.67710328214393256"/>
          <c:h val="0.72254857756307034"/>
        </c:manualLayout>
      </c:layout>
      <c:scatterChart>
        <c:scatterStyle val="smoothMarker"/>
        <c:varyColors val="0"/>
        <c:ser>
          <c:idx val="0"/>
          <c:order val="0"/>
          <c:tx>
            <c:v>S1_1</c:v>
          </c:tx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馬達特性曲線!$D$40:$D$42</c:f>
              <c:numCache>
                <c:formatCode>General</c:formatCode>
                <c:ptCount val="3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</c:numCache>
            </c:numRef>
          </c:xVal>
          <c:yVal>
            <c:numRef>
              <c:f>馬達特性曲線!$L$40:$L$42</c:f>
              <c:numCache>
                <c:formatCode>0.00</c:formatCode>
                <c:ptCount val="3"/>
                <c:pt idx="0">
                  <c:v>0</c:v>
                </c:pt>
                <c:pt idx="1">
                  <c:v>5.5</c:v>
                </c:pt>
                <c:pt idx="2">
                  <c:v>11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9E-4423-ABEE-3C57C37A7962}"/>
            </c:ext>
          </c:extLst>
        </c:ser>
        <c:ser>
          <c:idx val="1"/>
          <c:order val="1"/>
          <c:tx>
            <c:v>S1_2</c:v>
          </c:tx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馬達特性曲線!$D$42:$D$49</c:f>
              <c:numCache>
                <c:formatCode>General</c:formatCode>
                <c:ptCount val="8"/>
                <c:pt idx="0">
                  <c:v>1500</c:v>
                </c:pt>
                <c:pt idx="1">
                  <c:v>2250</c:v>
                </c:pt>
                <c:pt idx="2">
                  <c:v>3000</c:v>
                </c:pt>
                <c:pt idx="3">
                  <c:v>3750</c:v>
                </c:pt>
                <c:pt idx="4">
                  <c:v>4500</c:v>
                </c:pt>
                <c:pt idx="5">
                  <c:v>5250</c:v>
                </c:pt>
                <c:pt idx="6">
                  <c:v>6000</c:v>
                </c:pt>
                <c:pt idx="7">
                  <c:v>8000</c:v>
                </c:pt>
              </c:numCache>
            </c:numRef>
          </c:xVal>
          <c:yVal>
            <c:numRef>
              <c:f>馬達特性曲線!$L$42:$L$49</c:f>
              <c:numCache>
                <c:formatCode>0.00</c:formatCode>
                <c:ptCount val="8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4C9E-4423-ABEE-3C57C37A7962}"/>
            </c:ext>
          </c:extLst>
        </c:ser>
        <c:ser>
          <c:idx val="2"/>
          <c:order val="2"/>
          <c:spPr>
            <a:ln w="381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馬達特性曲線!$D$51:$D$53</c:f>
              <c:numCache>
                <c:formatCode>General</c:formatCode>
                <c:ptCount val="3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</c:numCache>
            </c:numRef>
          </c:xVal>
          <c:yVal>
            <c:numRef>
              <c:f>馬達特性曲線!$L$51:$L$53</c:f>
              <c:numCache>
                <c:formatCode>0.00</c:formatCode>
                <c:ptCount val="3"/>
                <c:pt idx="0">
                  <c:v>0</c:v>
                </c:pt>
                <c:pt idx="1">
                  <c:v>8.25</c:v>
                </c:pt>
                <c:pt idx="2">
                  <c:v>16.489999999999998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4C9E-4423-ABEE-3C57C37A7962}"/>
            </c:ext>
          </c:extLst>
        </c:ser>
        <c:ser>
          <c:idx val="3"/>
          <c:order val="3"/>
          <c:spPr>
            <a:ln w="381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馬達特性曲線!$D$53:$D$60</c:f>
              <c:numCache>
                <c:formatCode>General</c:formatCode>
                <c:ptCount val="8"/>
                <c:pt idx="0">
                  <c:v>1500</c:v>
                </c:pt>
                <c:pt idx="1">
                  <c:v>2250</c:v>
                </c:pt>
                <c:pt idx="2">
                  <c:v>3000</c:v>
                </c:pt>
                <c:pt idx="3">
                  <c:v>3750</c:v>
                </c:pt>
                <c:pt idx="4">
                  <c:v>4500</c:v>
                </c:pt>
                <c:pt idx="5">
                  <c:v>5250</c:v>
                </c:pt>
                <c:pt idx="6">
                  <c:v>6000</c:v>
                </c:pt>
                <c:pt idx="7">
                  <c:v>8000</c:v>
                </c:pt>
              </c:numCache>
            </c:numRef>
          </c:xVal>
          <c:yVal>
            <c:numRef>
              <c:f>馬達特性曲線!$L$53:$L$60</c:f>
              <c:numCache>
                <c:formatCode>0.00</c:formatCode>
                <c:ptCount val="8"/>
                <c:pt idx="0">
                  <c:v>16.489999999999998</c:v>
                </c:pt>
                <c:pt idx="1">
                  <c:v>16.489999999999998</c:v>
                </c:pt>
                <c:pt idx="2">
                  <c:v>16.489999999999998</c:v>
                </c:pt>
                <c:pt idx="3">
                  <c:v>16.489999999999998</c:v>
                </c:pt>
                <c:pt idx="4">
                  <c:v>16.489999999999998</c:v>
                </c:pt>
                <c:pt idx="5">
                  <c:v>16.489999999999998</c:v>
                </c:pt>
                <c:pt idx="6">
                  <c:v>16.489999999999998</c:v>
                </c:pt>
                <c:pt idx="7">
                  <c:v>16.489999999999998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4C9E-4423-ABEE-3C57C37A7962}"/>
            </c:ext>
          </c:extLst>
        </c:ser>
        <c:ser>
          <c:idx val="4"/>
          <c:order val="4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馬達特性曲線!$D$62:$D$65</c:f>
              <c:numCache>
                <c:formatCode>General</c:formatCode>
                <c:ptCount val="4"/>
                <c:pt idx="0">
                  <c:v>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</c:numCache>
            </c:numRef>
          </c:xVal>
          <c:yVal>
            <c:numRef>
              <c:f>馬達特性曲線!$L$62:$L$65</c:f>
              <c:numCache>
                <c:formatCode>0.00</c:formatCode>
                <c:ptCount val="4"/>
                <c:pt idx="0">
                  <c:v>0</c:v>
                </c:pt>
                <c:pt idx="1">
                  <c:v>21.99</c:v>
                </c:pt>
                <c:pt idx="2">
                  <c:v>21.99</c:v>
                </c:pt>
                <c:pt idx="3">
                  <c:v>21.99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4C9E-4423-ABEE-3C57C37A7962}"/>
            </c:ext>
          </c:extLst>
        </c:ser>
        <c:ser>
          <c:idx val="5"/>
          <c:order val="5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馬達特性曲線!$D$65:$D$72</c:f>
              <c:numCache>
                <c:formatCode>General</c:formatCode>
                <c:ptCount val="8"/>
                <c:pt idx="0">
                  <c:v>1500</c:v>
                </c:pt>
                <c:pt idx="1">
                  <c:v>2250</c:v>
                </c:pt>
                <c:pt idx="2">
                  <c:v>3000</c:v>
                </c:pt>
                <c:pt idx="3">
                  <c:v>3750</c:v>
                </c:pt>
                <c:pt idx="4">
                  <c:v>4500</c:v>
                </c:pt>
                <c:pt idx="5">
                  <c:v>5250</c:v>
                </c:pt>
                <c:pt idx="6">
                  <c:v>6000</c:v>
                </c:pt>
                <c:pt idx="7">
                  <c:v>8000</c:v>
                </c:pt>
              </c:numCache>
            </c:numRef>
          </c:xVal>
          <c:yVal>
            <c:numRef>
              <c:f>馬達特性曲線!$L$65:$L$72</c:f>
              <c:numCache>
                <c:formatCode>0.00</c:formatCode>
                <c:ptCount val="8"/>
                <c:pt idx="0">
                  <c:v>21.99</c:v>
                </c:pt>
                <c:pt idx="1">
                  <c:v>21.99</c:v>
                </c:pt>
                <c:pt idx="2">
                  <c:v>21.99</c:v>
                </c:pt>
                <c:pt idx="3">
                  <c:v>21.99</c:v>
                </c:pt>
                <c:pt idx="4">
                  <c:v>21.99</c:v>
                </c:pt>
                <c:pt idx="5">
                  <c:v>21.99</c:v>
                </c:pt>
                <c:pt idx="6" formatCode="General">
                  <c:v>21.99</c:v>
                </c:pt>
                <c:pt idx="7" formatCode="General">
                  <c:v>21.99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7-4C9E-4423-ABEE-3C57C37A7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73120"/>
        <c:axId val="157575040"/>
      </c:scatterChart>
      <c:valAx>
        <c:axId val="157573120"/>
        <c:scaling>
          <c:orientation val="minMax"/>
          <c:max val="12000"/>
          <c:min val="0"/>
        </c:scaling>
        <c:delete val="0"/>
        <c:axPos val="b"/>
        <c:majorGridlines>
          <c:spPr>
            <a:ln w="9525" cap="flat" cmpd="sng" algn="ctr">
              <a:solidFill>
                <a:srgbClr val="E7E6E6">
                  <a:lumMod val="50000"/>
                </a:srgb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altLang="zh-TW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Motor 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98000"/>
              </a:schemeClr>
            </a:solidFill>
            <a:round/>
          </a:ln>
          <a:effectLst>
            <a:softEdge rad="25400"/>
          </a:effectLst>
        </c:spPr>
        <c:txPr>
          <a:bodyPr rot="0" spcFirstLastPara="1" vertOverflow="ellipsis" wrap="square" anchor="ctr" anchorCtr="1"/>
          <a:lstStyle/>
          <a:p>
            <a:pPr algn="ctr">
              <a:defRPr lang="en-US" altLang="zh-TW" sz="1600" b="0" i="0" u="none" strike="noStrike" kern="1200" spc="-1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7575040"/>
        <c:crosses val="autoZero"/>
        <c:crossBetween val="midCat"/>
        <c:majorUnit val="3000"/>
      </c:valAx>
      <c:valAx>
        <c:axId val="157575040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rgbClr val="E7E6E6">
                  <a:lumMod val="25000"/>
                </a:srgb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TW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Rated output [kW]</a:t>
                </a:r>
              </a:p>
            </c:rich>
          </c:tx>
          <c:layout>
            <c:manualLayout>
              <c:xMode val="edge"/>
              <c:yMode val="edge"/>
              <c:x val="2.7877380574791517E-2"/>
              <c:y val="0.194954136002743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TW" sz="1600" b="0" i="0" u="none" strike="noStrike" kern="1200" spc="-1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7573120"/>
        <c:crosses val="autoZero"/>
        <c:crossBetween val="midCat"/>
        <c:majorUnit val="3"/>
      </c:valAx>
      <c:spPr>
        <a:noFill/>
        <a:ln w="15875" cmpd="sng">
          <a:solidFill>
            <a:schemeClr val="tx1">
              <a:alpha val="97000"/>
            </a:schemeClr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/>
  </c:chart>
  <c:spPr>
    <a:noFill/>
    <a:ln w="9525" cap="flat" cmpd="sng" algn="ctr">
      <a:solidFill>
        <a:sysClr val="window" lastClr="FFFFFF"/>
      </a:solidFill>
      <a:round/>
    </a:ln>
    <a:effectLst/>
  </c:spPr>
  <c:txPr>
    <a:bodyPr/>
    <a:lstStyle/>
    <a:p>
      <a:pPr algn="ctr" rtl="0">
        <a:defRPr lang="en-US" altLang="zh-TW" sz="1600" b="0" i="0" u="none" strike="noStrike" kern="1200" baseline="0">
          <a:solidFill>
            <a:sysClr val="windowText" lastClr="000000">
              <a:lumMod val="65000"/>
              <a:lumOff val="35000"/>
            </a:sysClr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385078778273023"/>
          <c:y val="4.3876966236063152E-2"/>
          <c:w val="0.67298507072421643"/>
          <c:h val="0.72337176819315019"/>
        </c:manualLayout>
      </c:layout>
      <c:scatterChart>
        <c:scatterStyle val="smoothMarker"/>
        <c:varyColors val="0"/>
        <c:ser>
          <c:idx val="0"/>
          <c:order val="0"/>
          <c:tx>
            <c:v>S1_1</c:v>
          </c:tx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馬達特性曲線!$D$40:$D$42</c:f>
              <c:numCache>
                <c:formatCode>General</c:formatCode>
                <c:ptCount val="3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</c:numCache>
            </c:numRef>
          </c:xVal>
          <c:yVal>
            <c:numRef>
              <c:f>馬達特性曲線!$H$40:$H$42</c:f>
              <c:numCache>
                <c:formatCode>0.00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70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184-45E2-8FC2-8E8827B3471F}"/>
            </c:ext>
          </c:extLst>
        </c:ser>
        <c:ser>
          <c:idx val="1"/>
          <c:order val="1"/>
          <c:tx>
            <c:v>S1_2</c:v>
          </c:tx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A184-45E2-8FC2-8E8827B3471F}"/>
              </c:ext>
            </c:extLst>
          </c:dPt>
          <c:xVal>
            <c:numRef>
              <c:f>馬達特性曲線!$D$42:$D$49</c:f>
              <c:numCache>
                <c:formatCode>General</c:formatCode>
                <c:ptCount val="8"/>
                <c:pt idx="0">
                  <c:v>1500</c:v>
                </c:pt>
                <c:pt idx="1">
                  <c:v>2250</c:v>
                </c:pt>
                <c:pt idx="2">
                  <c:v>3000</c:v>
                </c:pt>
                <c:pt idx="3">
                  <c:v>3750</c:v>
                </c:pt>
                <c:pt idx="4">
                  <c:v>4500</c:v>
                </c:pt>
                <c:pt idx="5">
                  <c:v>5250</c:v>
                </c:pt>
                <c:pt idx="6">
                  <c:v>6000</c:v>
                </c:pt>
                <c:pt idx="7">
                  <c:v>8000</c:v>
                </c:pt>
              </c:numCache>
            </c:numRef>
          </c:xVal>
          <c:yVal>
            <c:numRef>
              <c:f>馬達特性曲線!$H$42:$H$49</c:f>
              <c:numCache>
                <c:formatCode>0.00</c:formatCode>
                <c:ptCount val="8"/>
                <c:pt idx="0">
                  <c:v>70</c:v>
                </c:pt>
                <c:pt idx="1">
                  <c:v>46.666666666666664</c:v>
                </c:pt>
                <c:pt idx="2">
                  <c:v>35</c:v>
                </c:pt>
                <c:pt idx="3">
                  <c:v>28</c:v>
                </c:pt>
                <c:pt idx="4">
                  <c:v>23.333333333333332</c:v>
                </c:pt>
                <c:pt idx="5">
                  <c:v>20</c:v>
                </c:pt>
                <c:pt idx="6">
                  <c:v>17.5</c:v>
                </c:pt>
                <c:pt idx="7">
                  <c:v>13.125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A184-45E2-8FC2-8E8827B3471F}"/>
            </c:ext>
          </c:extLst>
        </c:ser>
        <c:ser>
          <c:idx val="2"/>
          <c:order val="2"/>
          <c:spPr>
            <a:ln w="381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馬達特性曲線!$D$51:$D$53</c:f>
              <c:numCache>
                <c:formatCode>General</c:formatCode>
                <c:ptCount val="3"/>
                <c:pt idx="0">
                  <c:v>0</c:v>
                </c:pt>
                <c:pt idx="1">
                  <c:v>750</c:v>
                </c:pt>
                <c:pt idx="2">
                  <c:v>1500</c:v>
                </c:pt>
              </c:numCache>
            </c:numRef>
          </c:xVal>
          <c:yVal>
            <c:numRef>
              <c:f>馬達特性曲線!$H$51:$H$53</c:f>
              <c:numCache>
                <c:formatCode>0.00</c:formatCode>
                <c:ptCount val="3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A184-45E2-8FC2-8E8827B3471F}"/>
            </c:ext>
          </c:extLst>
        </c:ser>
        <c:ser>
          <c:idx val="3"/>
          <c:order val="3"/>
          <c:spPr>
            <a:ln w="381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馬達特性曲線!$D$53:$D$60</c:f>
              <c:numCache>
                <c:formatCode>General</c:formatCode>
                <c:ptCount val="8"/>
                <c:pt idx="0">
                  <c:v>1500</c:v>
                </c:pt>
                <c:pt idx="1">
                  <c:v>2250</c:v>
                </c:pt>
                <c:pt idx="2">
                  <c:v>3000</c:v>
                </c:pt>
                <c:pt idx="3">
                  <c:v>3750</c:v>
                </c:pt>
                <c:pt idx="4">
                  <c:v>4500</c:v>
                </c:pt>
                <c:pt idx="5">
                  <c:v>5250</c:v>
                </c:pt>
                <c:pt idx="6">
                  <c:v>6000</c:v>
                </c:pt>
                <c:pt idx="7">
                  <c:v>8000</c:v>
                </c:pt>
              </c:numCache>
            </c:numRef>
          </c:xVal>
          <c:yVal>
            <c:numRef>
              <c:f>馬達特性曲線!$H$53:$H$60</c:f>
              <c:numCache>
                <c:formatCode>0.00</c:formatCode>
                <c:ptCount val="8"/>
                <c:pt idx="0">
                  <c:v>105</c:v>
                </c:pt>
                <c:pt idx="1">
                  <c:v>70</c:v>
                </c:pt>
                <c:pt idx="2">
                  <c:v>52.5</c:v>
                </c:pt>
                <c:pt idx="3">
                  <c:v>42</c:v>
                </c:pt>
                <c:pt idx="4">
                  <c:v>35</c:v>
                </c:pt>
                <c:pt idx="5">
                  <c:v>30</c:v>
                </c:pt>
                <c:pt idx="6">
                  <c:v>26.25</c:v>
                </c:pt>
                <c:pt idx="7">
                  <c:v>19.6875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A184-45E2-8FC2-8E8827B3471F}"/>
            </c:ext>
          </c:extLst>
        </c:ser>
        <c:ser>
          <c:idx val="4"/>
          <c:order val="4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BB5F-49DA-85FB-681716EDDCE6}"/>
              </c:ext>
            </c:extLst>
          </c:dPt>
          <c:xVal>
            <c:numRef>
              <c:f>馬達特性曲線!$D$62:$D$64</c:f>
              <c:numCache>
                <c:formatCode>General</c:formatCode>
                <c:ptCount val="3"/>
                <c:pt idx="0">
                  <c:v>0</c:v>
                </c:pt>
                <c:pt idx="1">
                  <c:v>1500</c:v>
                </c:pt>
                <c:pt idx="2">
                  <c:v>1500</c:v>
                </c:pt>
              </c:numCache>
            </c:numRef>
          </c:xVal>
          <c:yVal>
            <c:numRef>
              <c:f>馬達特性曲線!$H$62:$H$64</c:f>
              <c:numCache>
                <c:formatCode>0.00</c:formatCode>
                <c:ptCount val="3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A184-45E2-8FC2-8E8827B3471F}"/>
            </c:ext>
          </c:extLst>
        </c:ser>
        <c:ser>
          <c:idx val="5"/>
          <c:order val="5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馬達特性曲線!$D$64:$D$72</c:f>
              <c:numCache>
                <c:formatCode>General</c:formatCode>
                <c:ptCount val="9"/>
                <c:pt idx="0">
                  <c:v>1500</c:v>
                </c:pt>
                <c:pt idx="1">
                  <c:v>1500</c:v>
                </c:pt>
                <c:pt idx="2">
                  <c:v>2250</c:v>
                </c:pt>
                <c:pt idx="3">
                  <c:v>3000</c:v>
                </c:pt>
                <c:pt idx="4">
                  <c:v>3750</c:v>
                </c:pt>
                <c:pt idx="5">
                  <c:v>4500</c:v>
                </c:pt>
                <c:pt idx="6">
                  <c:v>5250</c:v>
                </c:pt>
                <c:pt idx="7">
                  <c:v>6000</c:v>
                </c:pt>
                <c:pt idx="8">
                  <c:v>8000</c:v>
                </c:pt>
              </c:numCache>
            </c:numRef>
          </c:xVal>
          <c:yVal>
            <c:numRef>
              <c:f>馬達特性曲線!$H$64:$H$72</c:f>
              <c:numCache>
                <c:formatCode>0.00</c:formatCode>
                <c:ptCount val="9"/>
                <c:pt idx="0">
                  <c:v>140</c:v>
                </c:pt>
                <c:pt idx="1">
                  <c:v>140</c:v>
                </c:pt>
                <c:pt idx="2">
                  <c:v>93.333333333333329</c:v>
                </c:pt>
                <c:pt idx="3">
                  <c:v>70</c:v>
                </c:pt>
                <c:pt idx="4">
                  <c:v>56</c:v>
                </c:pt>
                <c:pt idx="5">
                  <c:v>46.666666666666664</c:v>
                </c:pt>
                <c:pt idx="6">
                  <c:v>40</c:v>
                </c:pt>
                <c:pt idx="7" formatCode="General">
                  <c:v>35</c:v>
                </c:pt>
                <c:pt idx="8" formatCode="General">
                  <c:v>26.25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9-A184-45E2-8FC2-8E8827B3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9552"/>
        <c:axId val="157245824"/>
      </c:scatterChart>
      <c:valAx>
        <c:axId val="157239552"/>
        <c:scaling>
          <c:orientation val="minMax"/>
          <c:max val="12000"/>
          <c:min val="0"/>
        </c:scaling>
        <c:delete val="0"/>
        <c:axPos val="b"/>
        <c:majorGridlines>
          <c:spPr>
            <a:ln w="9525" cap="flat" cmpd="sng" algn="ctr">
              <a:solidFill>
                <a:srgbClr val="E7E6E6">
                  <a:lumMod val="50000"/>
                </a:srgb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Motor</a:t>
                </a:r>
                <a:r>
                  <a:rPr lang="en-US" altLang="zh-TW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Speed [rpm]</a:t>
                </a:r>
                <a:endParaRPr lang="zh-TW" altLang="en-US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alpha val="98000"/>
              </a:sysClr>
            </a:solidFill>
            <a:round/>
          </a:ln>
          <a:effectLst>
            <a:softEdge rad="25400"/>
          </a:effectLst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spc="-1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7245824"/>
        <c:crosses val="autoZero"/>
        <c:crossBetween val="midCat"/>
        <c:majorUnit val="3000"/>
        <c:minorUnit val="2000"/>
      </c:valAx>
      <c:valAx>
        <c:axId val="157245824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rgbClr val="E7E6E6">
                  <a:lumMod val="25000"/>
                </a:srgb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Rated torque [Nm]</a:t>
                </a:r>
                <a:endParaRPr lang="zh-TW" altLang="en-US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9834049080795459E-2"/>
              <c:y val="0.191836150320243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-1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7239552"/>
        <c:crosses val="autoZero"/>
        <c:crossBetween val="midCat"/>
        <c:majorUnit val="4"/>
      </c:valAx>
      <c:spPr>
        <a:noFill/>
        <a:ln w="15875" cmpd="sng">
          <a:solidFill>
            <a:schemeClr val="tx1">
              <a:alpha val="97000"/>
            </a:schemeClr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/>
  </c:chart>
  <c:spPr>
    <a:noFill/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27215</xdr:colOff>
      <xdr:row>60</xdr:row>
      <xdr:rowOff>158287</xdr:rowOff>
    </xdr:from>
    <xdr:to>
      <xdr:col>4</xdr:col>
      <xdr:colOff>590427</xdr:colOff>
      <xdr:row>67</xdr:row>
      <xdr:rowOff>578</xdr:rowOff>
    </xdr:to>
    <xdr:pic>
      <xdr:nvPicPr>
        <xdr:cNvPr id="3" name="圖片 2">
          <a:extLst>
            <a:ext uri="{FF2B5EF4-FFF2-40B4-BE49-F238E27FC236}">
              <a16:creationId xmlns="" xmlns:a16="http://schemas.microsoft.com/office/drawing/2014/main" id="{1F7B05D5-E1B0-4495-A887-63A7805C8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17804030"/>
          <a:ext cx="2460443" cy="1566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246776</xdr:colOff>
      <xdr:row>4</xdr:row>
      <xdr:rowOff>76756</xdr:rowOff>
    </xdr:from>
    <xdr:to>
      <xdr:col>13</xdr:col>
      <xdr:colOff>520693</xdr:colOff>
      <xdr:row>16</xdr:row>
      <xdr:rowOff>103927</xdr:rowOff>
    </xdr:to>
    <xdr:sp macro="" textlink="">
      <xdr:nvSpPr>
        <xdr:cNvPr id="16" name="矩形 15">
          <a:extLst>
            <a:ext uri="{FF2B5EF4-FFF2-40B4-BE49-F238E27FC236}">
              <a16:creationId xmlns="" xmlns:a16="http://schemas.microsoft.com/office/drawing/2014/main" id="{C4A19E43-5111-4324-ACF5-6A6D57EE62F4}"/>
            </a:ext>
          </a:extLst>
        </xdr:cNvPr>
        <xdr:cNvSpPr>
          <a:spLocks noChangeAspect="1"/>
        </xdr:cNvSpPr>
      </xdr:nvSpPr>
      <xdr:spPr>
        <a:xfrm>
          <a:off x="13248150" y="965756"/>
          <a:ext cx="2541772" cy="26216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TW"/>
        </a:p>
      </xdr:txBody>
    </xdr:sp>
    <xdr:clientData/>
  </xdr:twoCellAnchor>
  <xdr:twoCellAnchor editAs="absolute">
    <xdr:from>
      <xdr:col>10</xdr:col>
      <xdr:colOff>641737</xdr:colOff>
      <xdr:row>3</xdr:row>
      <xdr:rowOff>128815</xdr:rowOff>
    </xdr:from>
    <xdr:to>
      <xdr:col>14</xdr:col>
      <xdr:colOff>232224</xdr:colOff>
      <xdr:row>20</xdr:row>
      <xdr:rowOff>85271</xdr:rowOff>
    </xdr:to>
    <xdr:graphicFrame macro="">
      <xdr:nvGraphicFramePr>
        <xdr:cNvPr id="6" name="圖表 5">
          <a:extLst>
            <a:ext uri="{FF2B5EF4-FFF2-40B4-BE49-F238E27FC236}">
              <a16:creationId xmlns="" xmlns:a16="http://schemas.microsoft.com/office/drawing/2014/main" id="{F4C030B7-98CF-4274-9470-9418E29BBB6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660347</xdr:colOff>
      <xdr:row>4</xdr:row>
      <xdr:rowOff>77351</xdr:rowOff>
    </xdr:from>
    <xdr:to>
      <xdr:col>6</xdr:col>
      <xdr:colOff>200684</xdr:colOff>
      <xdr:row>16</xdr:row>
      <xdr:rowOff>104522</xdr:rowOff>
    </xdr:to>
    <xdr:sp macro="" textlink="">
      <xdr:nvSpPr>
        <xdr:cNvPr id="7" name="矩形 6">
          <a:extLst>
            <a:ext uri="{FF2B5EF4-FFF2-40B4-BE49-F238E27FC236}">
              <a16:creationId xmlns="" xmlns:a16="http://schemas.microsoft.com/office/drawing/2014/main" id="{5BC4D8EA-529D-48C0-B036-173686A92526}"/>
            </a:ext>
          </a:extLst>
        </xdr:cNvPr>
        <xdr:cNvSpPr>
          <a:spLocks noChangeAspect="1"/>
        </xdr:cNvSpPr>
      </xdr:nvSpPr>
      <xdr:spPr>
        <a:xfrm>
          <a:off x="5863315" y="966351"/>
          <a:ext cx="2558100" cy="26216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TW"/>
        </a:p>
      </xdr:txBody>
    </xdr:sp>
    <xdr:clientData/>
  </xdr:twoCellAnchor>
  <xdr:twoCellAnchor editAs="absolute">
    <xdr:from>
      <xdr:col>2</xdr:col>
      <xdr:colOff>802293</xdr:colOff>
      <xdr:row>3</xdr:row>
      <xdr:rowOff>137719</xdr:rowOff>
    </xdr:from>
    <xdr:to>
      <xdr:col>6</xdr:col>
      <xdr:colOff>539247</xdr:colOff>
      <xdr:row>20</xdr:row>
      <xdr:rowOff>100695</xdr:rowOff>
    </xdr:to>
    <xdr:graphicFrame macro="">
      <xdr:nvGraphicFramePr>
        <xdr:cNvPr id="8" name="圖表 7">
          <a:extLst>
            <a:ext uri="{FF2B5EF4-FFF2-40B4-BE49-F238E27FC236}">
              <a16:creationId xmlns="" xmlns:a16="http://schemas.microsoft.com/office/drawing/2014/main" id="{5C42C949-89E1-4416-8B42-74B7CE1099A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399143</xdr:colOff>
      <xdr:row>24</xdr:row>
      <xdr:rowOff>31773</xdr:rowOff>
    </xdr:from>
    <xdr:to>
      <xdr:col>5</xdr:col>
      <xdr:colOff>943427</xdr:colOff>
      <xdr:row>34</xdr:row>
      <xdr:rowOff>184807</xdr:rowOff>
    </xdr:to>
    <xdr:pic>
      <xdr:nvPicPr>
        <xdr:cNvPr id="5" name="圖片 4">
          <a:extLst>
            <a:ext uri="{FF2B5EF4-FFF2-40B4-BE49-F238E27FC236}">
              <a16:creationId xmlns="" xmlns:a16="http://schemas.microsoft.com/office/drawing/2014/main" id="{8D23CB78-3649-AE23-A0C7-0CAEDEE4B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1143" y="5281106"/>
          <a:ext cx="2414007" cy="2290868"/>
        </a:xfrm>
        <a:prstGeom prst="rect">
          <a:avLst/>
        </a:prstGeom>
      </xdr:spPr>
    </xdr:pic>
    <xdr:clientData/>
  </xdr:twoCellAnchor>
  <xdr:twoCellAnchor editAs="oneCell">
    <xdr:from>
      <xdr:col>11</xdr:col>
      <xdr:colOff>278945</xdr:colOff>
      <xdr:row>24</xdr:row>
      <xdr:rowOff>64508</xdr:rowOff>
    </xdr:from>
    <xdr:to>
      <xdr:col>13</xdr:col>
      <xdr:colOff>411237</xdr:colOff>
      <xdr:row>35</xdr:row>
      <xdr:rowOff>11088</xdr:rowOff>
    </xdr:to>
    <xdr:pic>
      <xdr:nvPicPr>
        <xdr:cNvPr id="3" name="圖片 2">
          <a:extLst>
            <a:ext uri="{FF2B5EF4-FFF2-40B4-BE49-F238E27FC236}">
              <a16:creationId xmlns="" xmlns:a16="http://schemas.microsoft.com/office/drawing/2014/main" id="{524E5162-FFC2-8356-9706-FBFD0B699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0278" y="5313841"/>
          <a:ext cx="2404181" cy="2310191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0.15917</cdr:x>
      <cdr:y>0.87006</cdr:y>
    </cdr:from>
    <cdr:to>
      <cdr:x>0.28209</cdr:x>
      <cdr:y>0.98117</cdr:y>
    </cdr:to>
    <cdr:sp macro="" textlink="">
      <cdr:nvSpPr>
        <cdr:cNvPr id="6" name="文字方塊 5">
          <a:extLst xmlns:a="http://schemas.openxmlformats.org/drawingml/2006/main">
            <a:ext uri="{FF2B5EF4-FFF2-40B4-BE49-F238E27FC236}">
              <a16:creationId xmlns="" xmlns:a16="http://schemas.microsoft.com/office/drawing/2014/main" id="{D95AC1C6-8615-4B0A-977B-35D1B5B4BFF1}"/>
            </a:ext>
          </a:extLst>
        </cdr:cNvPr>
        <cdr:cNvSpPr txBox="1"/>
      </cdr:nvSpPr>
      <cdr:spPr>
        <a:xfrm xmlns:a="http://schemas.openxmlformats.org/drawingml/2006/main">
          <a:off x="630320" y="3132210"/>
          <a:ext cx="486750" cy="4000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TW" altLang="en-US" sz="900"/>
        </a:p>
      </cdr:txBody>
    </cdr:sp>
  </cdr:relSizeAnchor>
  <cdr:relSizeAnchor xmlns:cdr="http://schemas.openxmlformats.org/drawingml/2006/chartDrawing">
    <cdr:from>
      <cdr:x>0.5968</cdr:x>
      <cdr:y>0.21938</cdr:y>
    </cdr:from>
    <cdr:to>
      <cdr:x>0.79761</cdr:x>
      <cdr:y>0.55168</cdr:y>
    </cdr:to>
    <cdr:sp macro="" textlink="">
      <cdr:nvSpPr>
        <cdr:cNvPr id="17" name="文字方塊 16">
          <a:extLst xmlns:a="http://schemas.openxmlformats.org/drawingml/2006/main">
            <a:ext uri="{FF2B5EF4-FFF2-40B4-BE49-F238E27FC236}">
              <a16:creationId xmlns="" xmlns:a16="http://schemas.microsoft.com/office/drawing/2014/main" id="{4ABE807D-5651-431D-B214-7E7F9244899B}"/>
            </a:ext>
          </a:extLst>
        </cdr:cNvPr>
        <cdr:cNvSpPr txBox="1"/>
      </cdr:nvSpPr>
      <cdr:spPr>
        <a:xfrm xmlns:a="http://schemas.openxmlformats.org/drawingml/2006/main">
          <a:off x="2717582" y="6036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TW" altLang="en-US" sz="1100"/>
        </a:p>
      </cdr:txBody>
    </cdr:sp>
  </cdr:relSizeAnchor>
  <cdr:relSizeAnchor xmlns:cdr="http://schemas.openxmlformats.org/drawingml/2006/chartDrawing">
    <cdr:from>
      <cdr:x>0.47118</cdr:x>
      <cdr:y>0.05919</cdr:y>
    </cdr:from>
    <cdr:to>
      <cdr:x>0.47118</cdr:x>
      <cdr:y>0.70214</cdr:y>
    </cdr:to>
    <cdr:cxnSp macro="">
      <cdr:nvCxnSpPr>
        <cdr:cNvPr id="12" name="直線接點 11">
          <a:extLst xmlns:a="http://schemas.openxmlformats.org/drawingml/2006/main">
            <a:ext uri="{FF2B5EF4-FFF2-40B4-BE49-F238E27FC236}">
              <a16:creationId xmlns="" xmlns:a16="http://schemas.microsoft.com/office/drawing/2014/main" id="{ADA273F0-6247-4B7A-A19E-9F2D94ED0E29}"/>
            </a:ext>
          </a:extLst>
        </cdr:cNvPr>
        <cdr:cNvCxnSpPr/>
      </cdr:nvCxnSpPr>
      <cdr:spPr>
        <a:xfrm xmlns:a="http://schemas.openxmlformats.org/drawingml/2006/main">
          <a:off x="1772262" y="215418"/>
          <a:ext cx="0" cy="2340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0.27616</cdr:x>
      <cdr:y>0.11767</cdr:y>
    </cdr:from>
    <cdr:to>
      <cdr:x>0.6875</cdr:x>
      <cdr:y>0.16713</cdr:y>
    </cdr:to>
    <cdr:sp macro="" textlink="">
      <cdr:nvSpPr>
        <cdr:cNvPr id="2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E532AEC5-561A-B72B-E940-130899EA09E5}"/>
            </a:ext>
          </a:extLst>
        </cdr:cNvPr>
        <cdr:cNvSpPr txBox="1"/>
      </cdr:nvSpPr>
      <cdr:spPr>
        <a:xfrm xmlns:a="http://schemas.openxmlformats.org/drawingml/2006/main">
          <a:off x="1039302" y="428268"/>
          <a:ext cx="1548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請填定功率區數值</a:t>
          </a:r>
          <a:r>
            <a:rPr lang="en-US" altLang="zh-TW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kW </a:t>
          </a:r>
          <a:endParaRPr lang="zh-TW" altLang="en-US" sz="1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0.20603</cdr:x>
      <cdr:y>0.17549</cdr:y>
    </cdr:from>
    <cdr:to>
      <cdr:x>1</cdr:x>
      <cdr:y>0.22495</cdr:y>
    </cdr:to>
    <cdr:sp macro="" textlink="">
      <cdr:nvSpPr>
        <cdr:cNvPr id="3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C8AF0D06-6434-A119-0982-F47C6E53D121}"/>
            </a:ext>
          </a:extLst>
        </cdr:cNvPr>
        <cdr:cNvSpPr txBox="1"/>
      </cdr:nvSpPr>
      <cdr:spPr>
        <a:xfrm xmlns:a="http://schemas.openxmlformats.org/drawingml/2006/main">
          <a:off x="775344" y="638683"/>
          <a:ext cx="2988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請填工作制</a:t>
          </a:r>
          <a:r>
            <a:rPr lang="en-US" altLang="zh-TW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+</a:t>
          </a:r>
          <a:r>
            <a:rPr lang="zh-TW" alt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單位</a:t>
          </a:r>
          <a:r>
            <a:rPr lang="en-US" altLang="zh-TW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&amp;</a:t>
          </a:r>
          <a:r>
            <a:rPr lang="zh-TW" alt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請填對應級數</a:t>
          </a:r>
          <a:r>
            <a:rPr lang="en-US" altLang="zh-TW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(0), (M), (S) </a:t>
          </a:r>
          <a:endParaRPr lang="zh-TW" altLang="en-US" sz="1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0.70809</cdr:x>
      <cdr:y>0.06381</cdr:y>
    </cdr:from>
    <cdr:to>
      <cdr:x>0.80215</cdr:x>
      <cdr:y>0.15354</cdr:y>
    </cdr:to>
    <cdr:cxnSp macro="">
      <cdr:nvCxnSpPr>
        <cdr:cNvPr id="4" name="直線單箭頭接點 3">
          <a:extLst xmlns:a="http://schemas.openxmlformats.org/drawingml/2006/main">
            <a:ext uri="{FF2B5EF4-FFF2-40B4-BE49-F238E27FC236}">
              <a16:creationId xmlns="" xmlns:a16="http://schemas.microsoft.com/office/drawing/2014/main" id="{E3529E35-5327-F4E0-3137-7E58FAC31B9A}"/>
            </a:ext>
          </a:extLst>
        </cdr:cNvPr>
        <cdr:cNvCxnSpPr/>
      </cdr:nvCxnSpPr>
      <cdr:spPr>
        <a:xfrm xmlns:a="http://schemas.openxmlformats.org/drawingml/2006/main" flipH="1">
          <a:off x="2663371" y="232229"/>
          <a:ext cx="353786" cy="326572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stealt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0.2834</cdr:x>
      <cdr:y>0.28218</cdr:y>
    </cdr:from>
    <cdr:to>
      <cdr:x>0.68517</cdr:x>
      <cdr:y>0.33164</cdr:y>
    </cdr:to>
    <cdr:sp macro="" textlink="">
      <cdr:nvSpPr>
        <cdr:cNvPr id="5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366DBC11-7A15-77F8-E83F-FC186BCBA572}"/>
            </a:ext>
          </a:extLst>
        </cdr:cNvPr>
        <cdr:cNvSpPr txBox="1"/>
      </cdr:nvSpPr>
      <cdr:spPr>
        <a:xfrm xmlns:a="http://schemas.openxmlformats.org/drawingml/2006/main">
          <a:off x="1066529" y="1026995"/>
          <a:ext cx="1512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請填定功率區數值</a:t>
          </a:r>
          <a:r>
            <a:rPr lang="en-US" altLang="zh-TW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kW </a:t>
          </a:r>
          <a:endParaRPr lang="zh-TW" altLang="en-US" sz="1200" b="1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0.20603</cdr:x>
      <cdr:y>0.34449</cdr:y>
    </cdr:from>
    <cdr:to>
      <cdr:x>1</cdr:x>
      <cdr:y>0.39395</cdr:y>
    </cdr:to>
    <cdr:sp macro="" textlink="">
      <cdr:nvSpPr>
        <cdr:cNvPr id="7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59B423C8-08CB-331C-B29B-D3B27DCB2EA3}"/>
            </a:ext>
          </a:extLst>
        </cdr:cNvPr>
        <cdr:cNvSpPr txBox="1"/>
      </cdr:nvSpPr>
      <cdr:spPr>
        <a:xfrm xmlns:a="http://schemas.openxmlformats.org/drawingml/2006/main">
          <a:off x="775344" y="1253761"/>
          <a:ext cx="2988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請填工作制</a:t>
          </a:r>
          <a:r>
            <a:rPr lang="en-US" altLang="zh-TW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+</a:t>
          </a:r>
          <a:r>
            <a:rPr lang="zh-TW" altLang="en-US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單位</a:t>
          </a:r>
          <a:r>
            <a:rPr lang="en-US" altLang="zh-TW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&amp;</a:t>
          </a:r>
          <a:r>
            <a:rPr lang="zh-TW" altLang="en-US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請填對應級數</a:t>
          </a:r>
          <a:r>
            <a:rPr lang="en-US" altLang="zh-TW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(0), (M), (S) </a:t>
          </a:r>
          <a:endParaRPr lang="zh-TW" altLang="en-US" sz="1200" b="1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0.69845</cdr:x>
      <cdr:y>0.2333</cdr:y>
    </cdr:from>
    <cdr:to>
      <cdr:x>0.7925</cdr:x>
      <cdr:y>0.32303</cdr:y>
    </cdr:to>
    <cdr:cxnSp macro="">
      <cdr:nvCxnSpPr>
        <cdr:cNvPr id="8" name="直線單箭頭接點 7">
          <a:extLst xmlns:a="http://schemas.openxmlformats.org/drawingml/2006/main">
            <a:ext uri="{FF2B5EF4-FFF2-40B4-BE49-F238E27FC236}">
              <a16:creationId xmlns="" xmlns:a16="http://schemas.microsoft.com/office/drawing/2014/main" id="{CA0FC8D6-F18C-689A-9221-397BEDAB643D}"/>
            </a:ext>
          </a:extLst>
        </cdr:cNvPr>
        <cdr:cNvCxnSpPr/>
      </cdr:nvCxnSpPr>
      <cdr:spPr>
        <a:xfrm xmlns:a="http://schemas.openxmlformats.org/drawingml/2006/main" flipH="1">
          <a:off x="2627085" y="849086"/>
          <a:ext cx="353786" cy="326572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0000FF"/>
          </a:solidFill>
          <a:tailEnd type="stealt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0.28157</cdr:x>
      <cdr:y>0.42675</cdr:y>
    </cdr:from>
    <cdr:to>
      <cdr:x>0.68334</cdr:x>
      <cdr:y>0.47621</cdr:y>
    </cdr:to>
    <cdr:sp macro="" textlink="">
      <cdr:nvSpPr>
        <cdr:cNvPr id="9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D00F049E-5B53-48F5-AB84-91E96DBC1526}"/>
            </a:ext>
          </a:extLst>
        </cdr:cNvPr>
        <cdr:cNvSpPr txBox="1"/>
      </cdr:nvSpPr>
      <cdr:spPr>
        <a:xfrm xmlns:a="http://schemas.openxmlformats.org/drawingml/2006/main">
          <a:off x="1059659" y="1553133"/>
          <a:ext cx="1512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請填定功率區數值</a:t>
          </a:r>
          <a:r>
            <a:rPr lang="en-US" altLang="zh-TW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kW</a:t>
          </a:r>
          <a:endParaRPr lang="zh-TW" altLang="en-US" sz="12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0.28549</cdr:x>
      <cdr:y>0.48773</cdr:y>
    </cdr:from>
    <cdr:to>
      <cdr:x>0.43855</cdr:x>
      <cdr:y>0.53719</cdr:y>
    </cdr:to>
    <cdr:sp macro="" textlink="">
      <cdr:nvSpPr>
        <cdr:cNvPr id="10" name="文字方塊 1">
          <a:extLst xmlns:a="http://schemas.openxmlformats.org/drawingml/2006/main">
            <a:ext uri="{FF2B5EF4-FFF2-40B4-BE49-F238E27FC236}">
              <a16:creationId xmlns="" xmlns:a16="http://schemas.microsoft.com/office/drawing/2014/main" id="{964BAA88-42F6-26CC-BA61-9C49DF64325E}"/>
            </a:ext>
          </a:extLst>
        </cdr:cNvPr>
        <cdr:cNvSpPr txBox="1"/>
      </cdr:nvSpPr>
      <cdr:spPr>
        <a:xfrm xmlns:a="http://schemas.openxmlformats.org/drawingml/2006/main">
          <a:off x="1074400" y="1775081"/>
          <a:ext cx="576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TW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S1-Cont.</a:t>
          </a:r>
        </a:p>
      </cdr:txBody>
    </cdr:sp>
  </cdr:relSizeAnchor>
  <cdr:relSizeAnchor xmlns:cdr="http://schemas.openxmlformats.org/drawingml/2006/chartDrawing">
    <cdr:from>
      <cdr:x>0.31247</cdr:x>
      <cdr:y>0.65654</cdr:y>
    </cdr:from>
    <cdr:to>
      <cdr:x>0.59945</cdr:x>
      <cdr:y>0.706</cdr:y>
    </cdr:to>
    <cdr:sp macro="" textlink="">
      <cdr:nvSpPr>
        <cdr:cNvPr id="11" name="文字方塊 14">
          <a:extLst xmlns:a="http://schemas.openxmlformats.org/drawingml/2006/main">
            <a:ext uri="{FF2B5EF4-FFF2-40B4-BE49-F238E27FC236}">
              <a16:creationId xmlns="" xmlns:a16="http://schemas.microsoft.com/office/drawing/2014/main" id="{FBDB90DA-A100-48BA-8890-BBFD1532085F}"/>
            </a:ext>
          </a:extLst>
        </cdr:cNvPr>
        <cdr:cNvSpPr txBox="1"/>
      </cdr:nvSpPr>
      <cdr:spPr>
        <a:xfrm xmlns:a="http://schemas.openxmlformats.org/drawingml/2006/main">
          <a:off x="1175937" y="2389452"/>
          <a:ext cx="1080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請填轉折點轉速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0.15918</cdr:x>
      <cdr:y>0.24627</cdr:y>
    </cdr:from>
    <cdr:to>
      <cdr:x>0.19958</cdr:x>
      <cdr:y>0.39311</cdr:y>
    </cdr:to>
    <cdr:sp macro="" textlink="">
      <cdr:nvSpPr>
        <cdr:cNvPr id="3" name="文字方塊 2">
          <a:extLst xmlns:a="http://schemas.openxmlformats.org/drawingml/2006/main">
            <a:ext uri="{FF2B5EF4-FFF2-40B4-BE49-F238E27FC236}">
              <a16:creationId xmlns="" xmlns:a16="http://schemas.microsoft.com/office/drawing/2014/main" id="{FBD0C604-ACDE-4AE9-A083-385EA307B297}"/>
            </a:ext>
          </a:extLst>
        </cdr:cNvPr>
        <cdr:cNvSpPr txBox="1"/>
      </cdr:nvSpPr>
      <cdr:spPr>
        <a:xfrm xmlns:a="http://schemas.openxmlformats.org/drawingml/2006/main">
          <a:off x="727771" y="675568"/>
          <a:ext cx="184731" cy="40280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TW" altLang="en-US" sz="1400" b="1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0.15917</cdr:x>
      <cdr:y>0.87006</cdr:y>
    </cdr:from>
    <cdr:to>
      <cdr:x>0.28209</cdr:x>
      <cdr:y>0.98117</cdr:y>
    </cdr:to>
    <cdr:sp macro="" textlink="">
      <cdr:nvSpPr>
        <cdr:cNvPr id="6" name="文字方塊 5">
          <a:extLst xmlns:a="http://schemas.openxmlformats.org/drawingml/2006/main">
            <a:ext uri="{FF2B5EF4-FFF2-40B4-BE49-F238E27FC236}">
              <a16:creationId xmlns="" xmlns:a16="http://schemas.microsoft.com/office/drawing/2014/main" id="{D95AC1C6-8615-4B0A-977B-35D1B5B4BFF1}"/>
            </a:ext>
          </a:extLst>
        </cdr:cNvPr>
        <cdr:cNvSpPr txBox="1"/>
      </cdr:nvSpPr>
      <cdr:spPr>
        <a:xfrm xmlns:a="http://schemas.openxmlformats.org/drawingml/2006/main">
          <a:off x="630320" y="3132210"/>
          <a:ext cx="486750" cy="4000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TW" altLang="en-US" sz="900"/>
        </a:p>
      </cdr:txBody>
    </cdr:sp>
  </cdr:relSizeAnchor>
  <cdr:relSizeAnchor xmlns:cdr="http://schemas.openxmlformats.org/drawingml/2006/chartDrawing">
    <cdr:from>
      <cdr:x>0.46271</cdr:x>
      <cdr:y>0.0563</cdr:y>
    </cdr:from>
    <cdr:to>
      <cdr:x>0.46271</cdr:x>
      <cdr:y>0.68823</cdr:y>
    </cdr:to>
    <cdr:cxnSp macro="">
      <cdr:nvCxnSpPr>
        <cdr:cNvPr id="4" name="直線接點 3">
          <a:extLst xmlns:a="http://schemas.openxmlformats.org/drawingml/2006/main">
            <a:ext uri="{FF2B5EF4-FFF2-40B4-BE49-F238E27FC236}">
              <a16:creationId xmlns="" xmlns:a16="http://schemas.microsoft.com/office/drawing/2014/main" id="{E4FB659F-E9D7-437D-98AE-FD88308D5D47}"/>
            </a:ext>
          </a:extLst>
        </cdr:cNvPr>
        <cdr:cNvCxnSpPr/>
      </cdr:nvCxnSpPr>
      <cdr:spPr>
        <a:xfrm xmlns:a="http://schemas.openxmlformats.org/drawingml/2006/main">
          <a:off x="1772748" y="205258"/>
          <a:ext cx="0" cy="2304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0.31126</cdr:x>
      <cdr:y>0.65288</cdr:y>
    </cdr:from>
    <cdr:to>
      <cdr:x>0.60278</cdr:x>
      <cdr:y>0.70225</cdr:y>
    </cdr:to>
    <cdr:sp macro="" textlink="">
      <cdr:nvSpPr>
        <cdr:cNvPr id="5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1F1282CC-D557-406C-8B28-4AD45866AB18}"/>
            </a:ext>
          </a:extLst>
        </cdr:cNvPr>
        <cdr:cNvSpPr txBox="1"/>
      </cdr:nvSpPr>
      <cdr:spPr>
        <a:xfrm xmlns:a="http://schemas.openxmlformats.org/drawingml/2006/main">
          <a:off x="1191545" y="2380376"/>
          <a:ext cx="1116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請填轉折點轉速</a:t>
          </a:r>
        </a:p>
      </cdr:txBody>
    </cdr:sp>
  </cdr:relSizeAnchor>
  <cdr:absSizeAnchor xmlns:cdr="http://schemas.openxmlformats.org/drawingml/2006/chartDrawing">
    <cdr:from>
      <cdr:x>0.28071</cdr:x>
      <cdr:y>0.09458</cdr:y>
    </cdr:from>
    <cdr:ext cx="1512000" cy="180000"/>
    <cdr:sp macro="" textlink="">
      <cdr:nvSpPr>
        <cdr:cNvPr id="7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FAA9E341-C772-05D9-5B5E-6BC49B223B6F}"/>
            </a:ext>
          </a:extLst>
        </cdr:cNvPr>
        <cdr:cNvSpPr txBox="1"/>
      </cdr:nvSpPr>
      <cdr:spPr>
        <a:xfrm xmlns:a="http://schemas.openxmlformats.org/drawingml/2006/main">
          <a:off x="1074609" y="344849"/>
          <a:ext cx="1512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請填定扭力區數值</a:t>
          </a:r>
          <a:r>
            <a:rPr lang="en-US" altLang="zh-TW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Nm </a:t>
          </a:r>
          <a:endParaRPr lang="zh-TW" altLang="en-US" sz="1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absSizeAnchor>
  <cdr:absSizeAnchor xmlns:cdr="http://schemas.openxmlformats.org/drawingml/2006/chartDrawing">
    <cdr:from>
      <cdr:x>0.22887</cdr:x>
      <cdr:y>0.15478</cdr:y>
    </cdr:from>
    <cdr:ext cx="2952000" cy="180000"/>
    <cdr:sp macro="" textlink="">
      <cdr:nvSpPr>
        <cdr:cNvPr id="2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6AB36B39-F27B-56A9-B600-9E1E52E73C5D}"/>
            </a:ext>
          </a:extLst>
        </cdr:cNvPr>
        <cdr:cNvSpPr txBox="1">
          <a:spLocks xmlns:a="http://schemas.openxmlformats.org/drawingml/2006/main"/>
        </cdr:cNvSpPr>
      </cdr:nvSpPr>
      <cdr:spPr>
        <a:xfrm xmlns:a="http://schemas.openxmlformats.org/drawingml/2006/main">
          <a:off x="876168" y="564330"/>
          <a:ext cx="2952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請填工作制</a:t>
          </a:r>
          <a:r>
            <a:rPr lang="en-US" altLang="zh-TW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+</a:t>
          </a:r>
          <a:r>
            <a:rPr lang="zh-TW" alt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單位</a:t>
          </a:r>
          <a:r>
            <a:rPr lang="en-US" altLang="zh-TW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&amp;</a:t>
          </a:r>
          <a:r>
            <a:rPr lang="zh-TW" alt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請填對應級數</a:t>
          </a:r>
          <a:r>
            <a:rPr lang="en-US" altLang="zh-TW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(0), (M), (S) </a:t>
          </a:r>
          <a:endParaRPr lang="zh-TW" altLang="en-US" sz="1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absSizeAnchor>
  <cdr:relSizeAnchor xmlns:cdr="http://schemas.openxmlformats.org/drawingml/2006/chartDrawing">
    <cdr:from>
      <cdr:x>0.28161</cdr:x>
      <cdr:y>0.27421</cdr:y>
    </cdr:from>
    <cdr:to>
      <cdr:x>0.67658</cdr:x>
      <cdr:y>0.32358</cdr:y>
    </cdr:to>
    <cdr:sp macro="" textlink="">
      <cdr:nvSpPr>
        <cdr:cNvPr id="8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F4E718A7-C382-2224-C1D6-C91E162C2D9F}"/>
            </a:ext>
          </a:extLst>
        </cdr:cNvPr>
        <cdr:cNvSpPr txBox="1"/>
      </cdr:nvSpPr>
      <cdr:spPr>
        <a:xfrm xmlns:a="http://schemas.openxmlformats.org/drawingml/2006/main">
          <a:off x="1078057" y="999768"/>
          <a:ext cx="1512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請填定扭力區數值</a:t>
          </a:r>
          <a:r>
            <a:rPr lang="en-US" altLang="zh-TW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Nm </a:t>
          </a:r>
          <a:endParaRPr lang="zh-TW" altLang="en-US" sz="1200" b="1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0.21947</cdr:x>
      <cdr:y>0.33642</cdr:y>
    </cdr:from>
    <cdr:to>
      <cdr:x>1</cdr:x>
      <cdr:y>0.38579</cdr:y>
    </cdr:to>
    <cdr:sp macro="" textlink="">
      <cdr:nvSpPr>
        <cdr:cNvPr id="9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5B306581-86C2-89F8-8688-95C09FD493FC}"/>
            </a:ext>
          </a:extLst>
        </cdr:cNvPr>
        <cdr:cNvSpPr txBox="1"/>
      </cdr:nvSpPr>
      <cdr:spPr>
        <a:xfrm xmlns:a="http://schemas.openxmlformats.org/drawingml/2006/main">
          <a:off x="840168" y="1226565"/>
          <a:ext cx="2988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請填工作制</a:t>
          </a:r>
          <a:r>
            <a:rPr lang="en-US" altLang="zh-TW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+</a:t>
          </a:r>
          <a:r>
            <a:rPr lang="zh-TW" altLang="en-US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單位</a:t>
          </a:r>
          <a:r>
            <a:rPr lang="en-US" altLang="zh-TW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&amp;</a:t>
          </a:r>
          <a:r>
            <a:rPr lang="zh-TW" altLang="en-US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請填對應級數</a:t>
          </a:r>
          <a:r>
            <a:rPr lang="en-US" altLang="zh-TW" sz="1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(0), (M), (S) </a:t>
          </a:r>
          <a:endParaRPr lang="zh-TW" altLang="en-US" sz="1200" b="1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0.28635</cdr:x>
      <cdr:y>0.42101</cdr:y>
    </cdr:from>
    <cdr:to>
      <cdr:x>0.68131</cdr:x>
      <cdr:y>0.47038</cdr:y>
    </cdr:to>
    <cdr:sp macro="" textlink="">
      <cdr:nvSpPr>
        <cdr:cNvPr id="10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226F6A17-1F66-BFEE-EF04-61BBB401AEDE}"/>
            </a:ext>
          </a:extLst>
        </cdr:cNvPr>
        <cdr:cNvSpPr txBox="1"/>
      </cdr:nvSpPr>
      <cdr:spPr>
        <a:xfrm xmlns:a="http://schemas.openxmlformats.org/drawingml/2006/main">
          <a:off x="1096182" y="1534992"/>
          <a:ext cx="1512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TW" alt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請填定扭力區數值</a:t>
          </a:r>
          <a:r>
            <a:rPr lang="en-US" altLang="zh-TW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Nm </a:t>
          </a:r>
          <a:endParaRPr lang="zh-TW" altLang="en-US" sz="12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0.2884</cdr:x>
      <cdr:y>0.4791</cdr:y>
    </cdr:from>
    <cdr:to>
      <cdr:x>0.43886</cdr:x>
      <cdr:y>0.52847</cdr:y>
    </cdr:to>
    <cdr:sp macro="" textlink="">
      <cdr:nvSpPr>
        <cdr:cNvPr id="11" name="文字方塊 10">
          <a:extLst xmlns:a="http://schemas.openxmlformats.org/drawingml/2006/main">
            <a:ext uri="{FF2B5EF4-FFF2-40B4-BE49-F238E27FC236}">
              <a16:creationId xmlns="" xmlns:a16="http://schemas.microsoft.com/office/drawing/2014/main" id="{FAD385AD-5D5E-1EE7-52C7-0D9FB3F000B8}"/>
            </a:ext>
          </a:extLst>
        </cdr:cNvPr>
        <cdr:cNvSpPr txBox="1"/>
      </cdr:nvSpPr>
      <cdr:spPr>
        <a:xfrm xmlns:a="http://schemas.openxmlformats.org/drawingml/2006/main">
          <a:off x="1104025" y="1746792"/>
          <a:ext cx="576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TW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S1-Cont.</a:t>
          </a:r>
        </a:p>
      </cdr:txBody>
    </cdr:sp>
  </cdr:relSizeAnchor>
  <cdr:relSizeAnchor xmlns:cdr="http://schemas.openxmlformats.org/drawingml/2006/chartDrawing">
    <cdr:from>
      <cdr:x>0.71174</cdr:x>
      <cdr:y>0.05126</cdr:y>
    </cdr:from>
    <cdr:to>
      <cdr:x>0.80409</cdr:x>
      <cdr:y>0.14083</cdr:y>
    </cdr:to>
    <cdr:cxnSp macro="">
      <cdr:nvCxnSpPr>
        <cdr:cNvPr id="12" name="直線單箭頭接點 11">
          <a:extLst xmlns:a="http://schemas.openxmlformats.org/drawingml/2006/main">
            <a:ext uri="{FF2B5EF4-FFF2-40B4-BE49-F238E27FC236}">
              <a16:creationId xmlns="" xmlns:a16="http://schemas.microsoft.com/office/drawing/2014/main" id="{C1B958EF-B6AC-4442-1373-5F7A6C5342DA}"/>
            </a:ext>
          </a:extLst>
        </cdr:cNvPr>
        <cdr:cNvCxnSpPr/>
      </cdr:nvCxnSpPr>
      <cdr:spPr>
        <a:xfrm xmlns:a="http://schemas.openxmlformats.org/drawingml/2006/main" flipH="1">
          <a:off x="2724668" y="186884"/>
          <a:ext cx="353531" cy="326570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stealt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0.71176</cdr:x>
      <cdr:y>0.2304</cdr:y>
    </cdr:from>
    <cdr:to>
      <cdr:x>0.8041</cdr:x>
      <cdr:y>0.31997</cdr:y>
    </cdr:to>
    <cdr:cxnSp macro="">
      <cdr:nvCxnSpPr>
        <cdr:cNvPr id="13" name="直線單箭頭接點 12">
          <a:extLst xmlns:a="http://schemas.openxmlformats.org/drawingml/2006/main">
            <a:ext uri="{FF2B5EF4-FFF2-40B4-BE49-F238E27FC236}">
              <a16:creationId xmlns="" xmlns:a16="http://schemas.microsoft.com/office/drawing/2014/main" id="{8930620F-1E4D-67E3-5811-972FF3D1A1FC}"/>
            </a:ext>
          </a:extLst>
        </cdr:cNvPr>
        <cdr:cNvCxnSpPr/>
      </cdr:nvCxnSpPr>
      <cdr:spPr>
        <a:xfrm xmlns:a="http://schemas.openxmlformats.org/drawingml/2006/main" flipH="1">
          <a:off x="2726871" y="840015"/>
          <a:ext cx="353786" cy="326572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0000FF"/>
          </a:solidFill>
          <a:tailEnd type="stealt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</xdr:row>
      <xdr:rowOff>95250</xdr:rowOff>
    </xdr:from>
    <xdr:to>
      <xdr:col>7</xdr:col>
      <xdr:colOff>641265</xdr:colOff>
      <xdr:row>15</xdr:row>
      <xdr:rowOff>20779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394F2414-BD76-4EC6-AA0B-964E5403E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933450"/>
          <a:ext cx="5870490" cy="2230579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4</xdr:row>
      <xdr:rowOff>57150</xdr:rowOff>
    </xdr:from>
    <xdr:to>
      <xdr:col>17</xdr:col>
      <xdr:colOff>337829</xdr:colOff>
      <xdr:row>18</xdr:row>
      <xdr:rowOff>4891</xdr:rowOff>
    </xdr:to>
    <xdr:pic>
      <xdr:nvPicPr>
        <xdr:cNvPr id="3" name="圖片 2">
          <a:extLst>
            <a:ext uri="{FF2B5EF4-FFF2-40B4-BE49-F238E27FC236}">
              <a16:creationId xmlns="" xmlns:a16="http://schemas.microsoft.com/office/drawing/2014/main" id="{5CD59909-9421-4668-97C4-6FC8CF055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5850" y="895350"/>
          <a:ext cx="5205104" cy="2881441"/>
        </a:xfrm>
        <a:prstGeom prst="rect">
          <a:avLst/>
        </a:prstGeom>
      </xdr:spPr>
    </xdr:pic>
    <xdr:clientData/>
  </xdr:twoCellAnchor>
  <xdr:twoCellAnchor editAs="oneCell">
    <xdr:from>
      <xdr:col>0</xdr:col>
      <xdr:colOff>529442</xdr:colOff>
      <xdr:row>22</xdr:row>
      <xdr:rowOff>157101</xdr:rowOff>
    </xdr:from>
    <xdr:to>
      <xdr:col>9</xdr:col>
      <xdr:colOff>590865</xdr:colOff>
      <xdr:row>61</xdr:row>
      <xdr:rowOff>40307</xdr:rowOff>
    </xdr:to>
    <xdr:pic>
      <xdr:nvPicPr>
        <xdr:cNvPr id="4" name="圖片 3">
          <a:extLst>
            <a:ext uri="{FF2B5EF4-FFF2-40B4-BE49-F238E27FC236}">
              <a16:creationId xmlns="" xmlns:a16="http://schemas.microsoft.com/office/drawing/2014/main" id="{D5E0762E-6B64-46AA-801E-F9ECFE11A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9442" y="4767201"/>
          <a:ext cx="7367098" cy="8055656"/>
        </a:xfrm>
        <a:prstGeom prst="rect">
          <a:avLst/>
        </a:prstGeom>
      </xdr:spPr>
    </xdr:pic>
    <xdr:clientData/>
  </xdr:twoCellAnchor>
  <xdr:twoCellAnchor editAs="oneCell">
    <xdr:from>
      <xdr:col>11</xdr:col>
      <xdr:colOff>363284</xdr:colOff>
      <xdr:row>22</xdr:row>
      <xdr:rowOff>183754</xdr:rowOff>
    </xdr:from>
    <xdr:to>
      <xdr:col>21</xdr:col>
      <xdr:colOff>48852</xdr:colOff>
      <xdr:row>44</xdr:row>
      <xdr:rowOff>153602</xdr:rowOff>
    </xdr:to>
    <xdr:pic>
      <xdr:nvPicPr>
        <xdr:cNvPr id="5" name="圖片 4">
          <a:extLst>
            <a:ext uri="{FF2B5EF4-FFF2-40B4-BE49-F238E27FC236}">
              <a16:creationId xmlns="" xmlns:a16="http://schemas.microsoft.com/office/drawing/2014/main" id="{134D6724-A9B0-4013-AC6C-2FD11D75E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0559" y="4793854"/>
          <a:ext cx="7324618" cy="4579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2"/>
  <sheetViews>
    <sheetView tabSelected="1" zoomScaleNormal="100" workbookViewId="0">
      <selection activeCell="F7" sqref="F7:I7"/>
    </sheetView>
  </sheetViews>
  <sheetFormatPr defaultColWidth="9" defaultRowHeight="17" x14ac:dyDescent="0.4"/>
  <cols>
    <col min="1" max="1" width="9" style="42"/>
    <col min="2" max="2" width="10.26953125" style="43" customWidth="1"/>
    <col min="3" max="3" width="7.26953125" style="44" customWidth="1"/>
    <col min="4" max="4" width="10.08984375" style="43" customWidth="1"/>
    <col min="5" max="5" width="9.90625" style="43" customWidth="1"/>
    <col min="6" max="9" width="12.6328125" style="43" customWidth="1"/>
    <col min="10" max="10" width="12.6328125" style="42" customWidth="1"/>
    <col min="11" max="11" width="13.90625" style="42" customWidth="1"/>
    <col min="12" max="20" width="12.6328125" style="42" customWidth="1"/>
    <col min="21" max="21" width="17.453125" style="42" customWidth="1"/>
    <col min="22" max="22" width="25.7265625" style="42" bestFit="1" customWidth="1"/>
    <col min="23" max="23" width="27.36328125" style="42" bestFit="1" customWidth="1"/>
    <col min="24" max="24" width="17.36328125" style="42" customWidth="1"/>
    <col min="25" max="25" width="17.7265625" style="42" customWidth="1"/>
    <col min="26" max="26" width="13.7265625" style="42" customWidth="1"/>
    <col min="27" max="27" width="15.453125" style="42" customWidth="1"/>
    <col min="28" max="28" width="14.6328125" style="42" customWidth="1"/>
    <col min="29" max="29" width="16.26953125" style="42" customWidth="1"/>
    <col min="30" max="30" width="12.6328125" style="42" customWidth="1"/>
    <col min="31" max="31" width="18.36328125" style="42" customWidth="1"/>
    <col min="32" max="32" width="18.08984375" style="42" customWidth="1"/>
    <col min="33" max="16384" width="9" style="42"/>
  </cols>
  <sheetData>
    <row r="1" spans="2:33" ht="25.15" customHeight="1" thickBot="1" x14ac:dyDescent="0.45">
      <c r="B1" s="342" t="s">
        <v>124</v>
      </c>
      <c r="C1" s="343"/>
      <c r="D1" s="344" t="s">
        <v>125</v>
      </c>
      <c r="E1" s="345"/>
      <c r="F1" s="42"/>
      <c r="Y1" s="217" t="s">
        <v>368</v>
      </c>
    </row>
    <row r="2" spans="2:33" ht="16.149999999999999" customHeight="1" x14ac:dyDescent="0.4">
      <c r="B2" s="358" t="s">
        <v>79</v>
      </c>
      <c r="C2" s="359"/>
      <c r="D2" s="359"/>
      <c r="E2" s="359"/>
      <c r="F2" s="359" t="s">
        <v>203</v>
      </c>
      <c r="G2" s="359"/>
      <c r="H2" s="378" t="s">
        <v>253</v>
      </c>
      <c r="I2" s="379"/>
      <c r="J2" s="359" t="s">
        <v>81</v>
      </c>
      <c r="K2" s="359"/>
      <c r="L2" s="359" t="s">
        <v>82</v>
      </c>
      <c r="M2" s="359"/>
      <c r="N2" s="359" t="s">
        <v>249</v>
      </c>
      <c r="O2" s="359"/>
      <c r="P2" s="359" t="s">
        <v>135</v>
      </c>
      <c r="Q2" s="359"/>
      <c r="R2" s="502" t="s">
        <v>120</v>
      </c>
      <c r="S2" s="502"/>
      <c r="T2" s="510" t="s">
        <v>254</v>
      </c>
      <c r="U2" s="511"/>
      <c r="V2" s="503" t="s">
        <v>373</v>
      </c>
      <c r="W2" s="504"/>
      <c r="Y2" s="406" t="s">
        <v>380</v>
      </c>
      <c r="Z2" s="257"/>
      <c r="AA2" s="257" t="s">
        <v>381</v>
      </c>
      <c r="AB2" s="257"/>
      <c r="AC2" s="257" t="s">
        <v>386</v>
      </c>
      <c r="AD2" s="257"/>
      <c r="AE2" s="257" t="s">
        <v>365</v>
      </c>
      <c r="AF2" s="373"/>
    </row>
    <row r="3" spans="2:33" x14ac:dyDescent="0.4">
      <c r="B3" s="414" t="s">
        <v>411</v>
      </c>
      <c r="C3" s="357"/>
      <c r="D3" s="357"/>
      <c r="E3" s="357"/>
      <c r="F3" s="357" t="s">
        <v>412</v>
      </c>
      <c r="G3" s="357"/>
      <c r="H3" s="357">
        <v>260</v>
      </c>
      <c r="I3" s="357"/>
      <c r="J3" s="357">
        <v>1500</v>
      </c>
      <c r="K3" s="357"/>
      <c r="L3" s="357">
        <v>11</v>
      </c>
      <c r="M3" s="357"/>
      <c r="N3" s="357">
        <v>70</v>
      </c>
      <c r="O3" s="357"/>
      <c r="P3" s="357">
        <v>32.299999999999997</v>
      </c>
      <c r="Q3" s="357"/>
      <c r="R3" s="433">
        <v>51.5</v>
      </c>
      <c r="S3" s="433"/>
      <c r="T3" s="425">
        <v>380</v>
      </c>
      <c r="U3" s="425"/>
      <c r="V3" s="505">
        <f>AB84</f>
        <v>20</v>
      </c>
      <c r="W3" s="506"/>
      <c r="Y3" s="431">
        <v>1500</v>
      </c>
      <c r="Z3" s="291"/>
      <c r="AA3" s="291">
        <v>1500</v>
      </c>
      <c r="AB3" s="291"/>
      <c r="AC3" s="291">
        <v>15</v>
      </c>
      <c r="AD3" s="291"/>
      <c r="AE3" s="291"/>
      <c r="AF3" s="374"/>
    </row>
    <row r="4" spans="2:33" ht="16.149999999999999" customHeight="1" x14ac:dyDescent="0.4">
      <c r="B4" s="415"/>
      <c r="C4" s="357"/>
      <c r="D4" s="357"/>
      <c r="E4" s="357"/>
      <c r="F4" s="367" t="s">
        <v>121</v>
      </c>
      <c r="G4" s="367"/>
      <c r="H4" s="383" t="s">
        <v>85</v>
      </c>
      <c r="I4" s="383"/>
      <c r="J4" s="383" t="s">
        <v>251</v>
      </c>
      <c r="K4" s="383"/>
      <c r="L4" s="383" t="s">
        <v>252</v>
      </c>
      <c r="M4" s="383"/>
      <c r="N4" s="367" t="s">
        <v>213</v>
      </c>
      <c r="O4" s="367"/>
      <c r="P4" s="280" t="s">
        <v>117</v>
      </c>
      <c r="Q4" s="280"/>
      <c r="R4" s="1" t="s">
        <v>119</v>
      </c>
      <c r="S4" s="1"/>
      <c r="T4" s="507" t="s">
        <v>286</v>
      </c>
      <c r="U4" s="508"/>
      <c r="V4" s="52" t="s">
        <v>396</v>
      </c>
      <c r="W4" s="109" t="s">
        <v>397</v>
      </c>
      <c r="Y4" s="403" t="s">
        <v>363</v>
      </c>
      <c r="Z4" s="280"/>
      <c r="AA4" s="280" t="s">
        <v>364</v>
      </c>
      <c r="AB4" s="280"/>
      <c r="AC4" s="292"/>
      <c r="AD4" s="292"/>
      <c r="AE4" s="280" t="s">
        <v>366</v>
      </c>
      <c r="AF4" s="375"/>
    </row>
    <row r="5" spans="2:33" ht="17.5" thickBot="1" x14ac:dyDescent="0.45">
      <c r="B5" s="416"/>
      <c r="C5" s="366"/>
      <c r="D5" s="366"/>
      <c r="E5" s="366"/>
      <c r="F5" s="413">
        <v>7.6969999999999997E-2</v>
      </c>
      <c r="G5" s="413"/>
      <c r="H5" s="366">
        <v>8000</v>
      </c>
      <c r="I5" s="366"/>
      <c r="J5" s="418">
        <f>MAX(N56:N58)</f>
        <v>140</v>
      </c>
      <c r="K5" s="417"/>
      <c r="L5" s="417">
        <f>MAX((R56+S56+T56)/3,(R57+S57+T57)/3,(R58+S58+T58)/3)</f>
        <v>67.800000000000011</v>
      </c>
      <c r="M5" s="417"/>
      <c r="N5" s="413">
        <v>14.35</v>
      </c>
      <c r="O5" s="413"/>
      <c r="P5" s="366">
        <v>4</v>
      </c>
      <c r="Q5" s="366"/>
      <c r="R5" s="430">
        <f>J53</f>
        <v>1800</v>
      </c>
      <c r="S5" s="430"/>
      <c r="T5" s="509" t="str">
        <f>ROUND(Y29,2)&amp;" / "&amp;ROUND(Z29,0)</f>
        <v>1.5 / 5130</v>
      </c>
      <c r="U5" s="509"/>
      <c r="V5" s="238" t="str">
        <f>N84</f>
        <v>NA</v>
      </c>
      <c r="W5" s="239">
        <f>AVERAGE(U84:W84)</f>
        <v>113.76666666666667</v>
      </c>
      <c r="Y5" s="432">
        <v>105</v>
      </c>
      <c r="Z5" s="376"/>
      <c r="AA5" s="376">
        <v>140</v>
      </c>
      <c r="AB5" s="376"/>
      <c r="AC5" s="293"/>
      <c r="AD5" s="293"/>
      <c r="AE5" s="376"/>
      <c r="AF5" s="377"/>
    </row>
    <row r="6" spans="2:33" ht="17.5" thickBot="1" x14ac:dyDescent="0.45"/>
    <row r="7" spans="2:33" ht="33" customHeight="1" thickBot="1" x14ac:dyDescent="0.45">
      <c r="B7" s="45" t="s">
        <v>36</v>
      </c>
      <c r="C7" s="46" t="s">
        <v>37</v>
      </c>
      <c r="D7" s="371" t="s">
        <v>38</v>
      </c>
      <c r="E7" s="372"/>
      <c r="F7" s="346" t="s">
        <v>39</v>
      </c>
      <c r="G7" s="347"/>
      <c r="H7" s="347"/>
      <c r="I7" s="348"/>
      <c r="J7" s="386" t="s">
        <v>40</v>
      </c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Z7" s="381"/>
      <c r="AA7" s="381"/>
      <c r="AB7" s="382"/>
      <c r="AC7" s="381" t="s">
        <v>77</v>
      </c>
      <c r="AD7" s="382"/>
      <c r="AE7" s="380" t="s">
        <v>157</v>
      </c>
      <c r="AF7" s="381"/>
      <c r="AG7" s="382"/>
    </row>
    <row r="8" spans="2:33" ht="21.75" customHeight="1" thickBot="1" x14ac:dyDescent="0.45">
      <c r="B8" s="45" t="s">
        <v>167</v>
      </c>
      <c r="C8" s="46">
        <v>1</v>
      </c>
      <c r="D8" s="371" t="s">
        <v>47</v>
      </c>
      <c r="E8" s="371"/>
      <c r="F8" s="347" t="s">
        <v>55</v>
      </c>
      <c r="G8" s="347"/>
      <c r="H8" s="347"/>
      <c r="I8" s="387"/>
      <c r="J8" s="399"/>
      <c r="K8" s="400"/>
      <c r="L8" s="400"/>
      <c r="M8" s="400"/>
      <c r="N8" s="400"/>
      <c r="O8" s="400"/>
      <c r="P8" s="400"/>
      <c r="Q8" s="400"/>
      <c r="R8" s="400"/>
      <c r="S8" s="400"/>
      <c r="T8" s="400"/>
      <c r="U8" s="400"/>
      <c r="V8" s="400"/>
      <c r="W8" s="400"/>
      <c r="X8" s="400"/>
      <c r="Y8" s="400"/>
      <c r="Z8" s="400"/>
      <c r="AA8" s="400"/>
      <c r="AB8" s="401"/>
      <c r="AC8" s="384" t="s">
        <v>201</v>
      </c>
      <c r="AD8" s="385"/>
      <c r="AE8" s="386"/>
      <c r="AF8" s="381"/>
      <c r="AG8" s="382"/>
    </row>
    <row r="9" spans="2:33" ht="21" customHeight="1" x14ac:dyDescent="0.4">
      <c r="B9" s="368" t="s">
        <v>167</v>
      </c>
      <c r="C9" s="257">
        <v>2</v>
      </c>
      <c r="D9" s="257" t="s">
        <v>44</v>
      </c>
      <c r="E9" s="257"/>
      <c r="F9" s="349" t="s">
        <v>166</v>
      </c>
      <c r="G9" s="349"/>
      <c r="H9" s="349"/>
      <c r="I9" s="355"/>
      <c r="J9" s="406" t="s">
        <v>101</v>
      </c>
      <c r="K9" s="257"/>
      <c r="L9" s="47" t="s">
        <v>416</v>
      </c>
      <c r="M9" s="47" t="s">
        <v>416</v>
      </c>
      <c r="N9" s="48" t="s">
        <v>416</v>
      </c>
      <c r="O9" s="333"/>
      <c r="P9" s="334"/>
      <c r="Q9" s="334"/>
      <c r="R9" s="334"/>
      <c r="S9" s="334"/>
      <c r="T9" s="334"/>
      <c r="U9" s="334"/>
      <c r="V9" s="334"/>
      <c r="W9" s="334"/>
      <c r="X9" s="334"/>
      <c r="Y9" s="334"/>
      <c r="Z9" s="334"/>
      <c r="AA9" s="334"/>
      <c r="AB9" s="335"/>
      <c r="AC9" s="274" t="s">
        <v>196</v>
      </c>
      <c r="AD9" s="269"/>
      <c r="AE9" s="268"/>
      <c r="AF9" s="274"/>
      <c r="AG9" s="269"/>
    </row>
    <row r="10" spans="2:33" x14ac:dyDescent="0.4">
      <c r="B10" s="369"/>
      <c r="C10" s="280"/>
      <c r="D10" s="280"/>
      <c r="E10" s="280"/>
      <c r="F10" s="351"/>
      <c r="G10" s="351"/>
      <c r="H10" s="351"/>
      <c r="I10" s="356"/>
      <c r="J10" s="403" t="s">
        <v>102</v>
      </c>
      <c r="K10" s="280"/>
      <c r="L10" s="49">
        <v>60</v>
      </c>
      <c r="M10" s="49">
        <v>60</v>
      </c>
      <c r="N10" s="50">
        <v>60</v>
      </c>
      <c r="O10" s="336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8"/>
      <c r="AC10" s="275"/>
      <c r="AD10" s="271"/>
      <c r="AE10" s="270"/>
      <c r="AF10" s="275"/>
      <c r="AG10" s="271"/>
    </row>
    <row r="11" spans="2:33" ht="16.5" customHeight="1" x14ac:dyDescent="0.4">
      <c r="B11" s="369"/>
      <c r="C11" s="280"/>
      <c r="D11" s="280"/>
      <c r="E11" s="280"/>
      <c r="F11" s="351"/>
      <c r="G11" s="351"/>
      <c r="H11" s="351"/>
      <c r="I11" s="356"/>
      <c r="J11" s="426" t="s">
        <v>105</v>
      </c>
      <c r="K11" s="319"/>
      <c r="L11" s="51" t="s">
        <v>50</v>
      </c>
      <c r="M11" s="52" t="s">
        <v>51</v>
      </c>
      <c r="N11" s="53" t="s">
        <v>52</v>
      </c>
      <c r="O11" s="336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8"/>
      <c r="AC11" s="275"/>
      <c r="AD11" s="271"/>
      <c r="AE11" s="270"/>
      <c r="AF11" s="275"/>
      <c r="AG11" s="271"/>
    </row>
    <row r="12" spans="2:33" ht="17.5" thickBot="1" x14ac:dyDescent="0.45">
      <c r="B12" s="369"/>
      <c r="C12" s="280"/>
      <c r="D12" s="280"/>
      <c r="E12" s="280"/>
      <c r="F12" s="351"/>
      <c r="G12" s="351"/>
      <c r="H12" s="351"/>
      <c r="I12" s="356"/>
      <c r="J12" s="272"/>
      <c r="K12" s="427"/>
      <c r="L12" s="54">
        <v>1.2</v>
      </c>
      <c r="M12" s="55">
        <v>8.6</v>
      </c>
      <c r="N12" s="56">
        <v>8.1999999999999993</v>
      </c>
      <c r="O12" s="339"/>
      <c r="P12" s="340"/>
      <c r="Q12" s="340"/>
      <c r="R12" s="340"/>
      <c r="S12" s="340"/>
      <c r="T12" s="340"/>
      <c r="U12" s="340"/>
      <c r="V12" s="340"/>
      <c r="W12" s="340"/>
      <c r="X12" s="340"/>
      <c r="Y12" s="340"/>
      <c r="Z12" s="340"/>
      <c r="AA12" s="340"/>
      <c r="AB12" s="341"/>
      <c r="AC12" s="276"/>
      <c r="AD12" s="273"/>
      <c r="AE12" s="272"/>
      <c r="AF12" s="276"/>
      <c r="AG12" s="273"/>
    </row>
    <row r="13" spans="2:33" ht="30" customHeight="1" x14ac:dyDescent="0.4">
      <c r="B13" s="368" t="s">
        <v>41</v>
      </c>
      <c r="C13" s="257">
        <v>3</v>
      </c>
      <c r="D13" s="257" t="s">
        <v>42</v>
      </c>
      <c r="E13" s="257"/>
      <c r="F13" s="349" t="s">
        <v>48</v>
      </c>
      <c r="G13" s="349"/>
      <c r="H13" s="349"/>
      <c r="I13" s="350"/>
      <c r="J13" s="406" t="s">
        <v>78</v>
      </c>
      <c r="K13" s="257"/>
      <c r="L13" s="57" t="s">
        <v>143</v>
      </c>
      <c r="M13" s="57" t="s">
        <v>144</v>
      </c>
      <c r="N13" s="57" t="s">
        <v>145</v>
      </c>
      <c r="O13" s="58" t="s">
        <v>146</v>
      </c>
      <c r="P13" s="333"/>
      <c r="Q13" s="334"/>
      <c r="R13" s="334"/>
      <c r="S13" s="334"/>
      <c r="T13" s="334"/>
      <c r="U13" s="334"/>
      <c r="V13" s="334"/>
      <c r="W13" s="334"/>
      <c r="X13" s="334"/>
      <c r="Y13" s="334"/>
      <c r="Z13" s="334"/>
      <c r="AA13" s="334"/>
      <c r="AB13" s="335"/>
      <c r="AC13" s="274" t="s">
        <v>197</v>
      </c>
      <c r="AD13" s="269"/>
      <c r="AE13" s="268"/>
      <c r="AF13" s="274"/>
      <c r="AG13" s="269"/>
    </row>
    <row r="14" spans="2:33" ht="19.5" customHeight="1" x14ac:dyDescent="0.4">
      <c r="B14" s="369"/>
      <c r="C14" s="280"/>
      <c r="D14" s="280"/>
      <c r="E14" s="280"/>
      <c r="F14" s="351"/>
      <c r="G14" s="351"/>
      <c r="H14" s="351"/>
      <c r="I14" s="352"/>
      <c r="J14" s="403" t="s">
        <v>74</v>
      </c>
      <c r="K14" s="280"/>
      <c r="L14" s="113">
        <v>0.27</v>
      </c>
      <c r="M14" s="113">
        <v>0.27</v>
      </c>
      <c r="N14" s="113">
        <v>0.27</v>
      </c>
      <c r="O14" s="113">
        <v>0.27</v>
      </c>
      <c r="P14" s="336"/>
      <c r="Q14" s="337"/>
      <c r="R14" s="337"/>
      <c r="S14" s="337"/>
      <c r="T14" s="337"/>
      <c r="U14" s="337"/>
      <c r="V14" s="337"/>
      <c r="W14" s="337"/>
      <c r="X14" s="337"/>
      <c r="Y14" s="337"/>
      <c r="Z14" s="337"/>
      <c r="AA14" s="337"/>
      <c r="AB14" s="338"/>
      <c r="AC14" s="275"/>
      <c r="AD14" s="271"/>
      <c r="AE14" s="270"/>
      <c r="AF14" s="275"/>
      <c r="AG14" s="271"/>
    </row>
    <row r="15" spans="2:33" ht="17.25" customHeight="1" x14ac:dyDescent="0.4">
      <c r="B15" s="369"/>
      <c r="C15" s="280"/>
      <c r="D15" s="280"/>
      <c r="E15" s="280"/>
      <c r="F15" s="351"/>
      <c r="G15" s="351"/>
      <c r="H15" s="351"/>
      <c r="I15" s="352"/>
      <c r="J15" s="403" t="s">
        <v>75</v>
      </c>
      <c r="K15" s="280"/>
      <c r="L15" s="114">
        <v>0.27</v>
      </c>
      <c r="M15" s="114">
        <v>0.27</v>
      </c>
      <c r="N15" s="114">
        <v>0.27</v>
      </c>
      <c r="O15" s="114">
        <v>0.27</v>
      </c>
      <c r="P15" s="336"/>
      <c r="Q15" s="337"/>
      <c r="R15" s="337"/>
      <c r="S15" s="337"/>
      <c r="T15" s="337"/>
      <c r="U15" s="337"/>
      <c r="V15" s="337"/>
      <c r="W15" s="337"/>
      <c r="X15" s="337"/>
      <c r="Y15" s="337"/>
      <c r="Z15" s="337"/>
      <c r="AA15" s="337"/>
      <c r="AB15" s="338"/>
      <c r="AC15" s="275"/>
      <c r="AD15" s="271"/>
      <c r="AE15" s="270"/>
      <c r="AF15" s="275"/>
      <c r="AG15" s="271"/>
    </row>
    <row r="16" spans="2:33" ht="18" customHeight="1" thickBot="1" x14ac:dyDescent="0.45">
      <c r="B16" s="370"/>
      <c r="C16" s="281"/>
      <c r="D16" s="281"/>
      <c r="E16" s="281"/>
      <c r="F16" s="353"/>
      <c r="G16" s="353"/>
      <c r="H16" s="353"/>
      <c r="I16" s="354"/>
      <c r="J16" s="402" t="s">
        <v>127</v>
      </c>
      <c r="K16" s="281"/>
      <c r="L16" s="60">
        <f>(L14-O14)/O14</f>
        <v>0</v>
      </c>
      <c r="M16" s="60">
        <f>(M14-O14)/O14</f>
        <v>0</v>
      </c>
      <c r="N16" s="60">
        <f>(N14-O14)/O14</f>
        <v>0</v>
      </c>
      <c r="O16" s="61">
        <f>(O14-O15)/O15</f>
        <v>0</v>
      </c>
      <c r="P16" s="339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1"/>
      <c r="AC16" s="275"/>
      <c r="AD16" s="271"/>
      <c r="AE16" s="272"/>
      <c r="AF16" s="276"/>
      <c r="AG16" s="273"/>
    </row>
    <row r="17" spans="1:33" ht="19.5" customHeight="1" x14ac:dyDescent="0.4">
      <c r="B17" s="368" t="s">
        <v>41</v>
      </c>
      <c r="C17" s="257">
        <v>4</v>
      </c>
      <c r="D17" s="257" t="s">
        <v>76</v>
      </c>
      <c r="E17" s="257"/>
      <c r="F17" s="360" t="s">
        <v>195</v>
      </c>
      <c r="G17" s="360"/>
      <c r="H17" s="360"/>
      <c r="I17" s="361"/>
      <c r="J17" s="296" t="s">
        <v>101</v>
      </c>
      <c r="K17" s="257"/>
      <c r="L17" s="396" t="s">
        <v>418</v>
      </c>
      <c r="M17" s="397"/>
      <c r="N17" s="397"/>
      <c r="O17" s="333"/>
      <c r="P17" s="334"/>
      <c r="Q17" s="334"/>
      <c r="R17" s="334"/>
      <c r="S17" s="334"/>
      <c r="T17" s="334"/>
      <c r="U17" s="334"/>
      <c r="V17" s="334"/>
      <c r="W17" s="334"/>
      <c r="X17" s="334"/>
      <c r="Y17" s="334"/>
      <c r="Z17" s="334"/>
      <c r="AA17" s="334"/>
      <c r="AB17" s="335"/>
      <c r="AC17" s="274" t="s">
        <v>198</v>
      </c>
      <c r="AD17" s="269"/>
      <c r="AE17" s="268"/>
      <c r="AF17" s="274"/>
      <c r="AG17" s="269"/>
    </row>
    <row r="18" spans="1:33" ht="18.75" customHeight="1" x14ac:dyDescent="0.4">
      <c r="B18" s="369"/>
      <c r="C18" s="280"/>
      <c r="D18" s="280"/>
      <c r="E18" s="280"/>
      <c r="F18" s="362"/>
      <c r="G18" s="362"/>
      <c r="H18" s="362"/>
      <c r="I18" s="363"/>
      <c r="J18" s="388" t="s">
        <v>102</v>
      </c>
      <c r="K18" s="280"/>
      <c r="L18" s="294">
        <v>60</v>
      </c>
      <c r="M18" s="398"/>
      <c r="N18" s="398"/>
      <c r="O18" s="336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8"/>
      <c r="AC18" s="275"/>
      <c r="AD18" s="271"/>
      <c r="AE18" s="270"/>
      <c r="AF18" s="275"/>
      <c r="AG18" s="271"/>
    </row>
    <row r="19" spans="1:33" ht="36.75" customHeight="1" thickBot="1" x14ac:dyDescent="0.45">
      <c r="B19" s="370"/>
      <c r="C19" s="281"/>
      <c r="D19" s="281"/>
      <c r="E19" s="281"/>
      <c r="F19" s="364"/>
      <c r="G19" s="364"/>
      <c r="H19" s="364"/>
      <c r="I19" s="365"/>
      <c r="J19" s="407" t="s">
        <v>103</v>
      </c>
      <c r="K19" s="281"/>
      <c r="L19" s="404" t="s">
        <v>419</v>
      </c>
      <c r="M19" s="405"/>
      <c r="N19" s="405"/>
      <c r="O19" s="339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1"/>
      <c r="AC19" s="276"/>
      <c r="AD19" s="273"/>
      <c r="AE19" s="272"/>
      <c r="AF19" s="276"/>
      <c r="AG19" s="273"/>
    </row>
    <row r="20" spans="1:33" ht="16.5" customHeight="1" x14ac:dyDescent="0.4">
      <c r="B20" s="368" t="s">
        <v>41</v>
      </c>
      <c r="C20" s="257">
        <v>5</v>
      </c>
      <c r="D20" s="257" t="s">
        <v>43</v>
      </c>
      <c r="E20" s="257"/>
      <c r="F20" s="349" t="s">
        <v>49</v>
      </c>
      <c r="G20" s="349"/>
      <c r="H20" s="349"/>
      <c r="I20" s="350"/>
      <c r="J20" s="296" t="s">
        <v>101</v>
      </c>
      <c r="K20" s="257"/>
      <c r="L20" s="396" t="s">
        <v>417</v>
      </c>
      <c r="M20" s="397"/>
      <c r="N20" s="397"/>
      <c r="O20" s="333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334"/>
      <c r="AB20" s="335"/>
      <c r="AC20" s="274" t="s">
        <v>199</v>
      </c>
      <c r="AD20" s="269"/>
      <c r="AE20" s="268"/>
      <c r="AF20" s="274"/>
      <c r="AG20" s="269"/>
    </row>
    <row r="21" spans="1:33" x14ac:dyDescent="0.4">
      <c r="B21" s="369"/>
      <c r="C21" s="280"/>
      <c r="D21" s="280"/>
      <c r="E21" s="280"/>
      <c r="F21" s="351"/>
      <c r="G21" s="351"/>
      <c r="H21" s="351"/>
      <c r="I21" s="352"/>
      <c r="J21" s="388" t="s">
        <v>102</v>
      </c>
      <c r="K21" s="280"/>
      <c r="L21" s="294">
        <v>60</v>
      </c>
      <c r="M21" s="398"/>
      <c r="N21" s="398"/>
      <c r="O21" s="336"/>
      <c r="P21" s="337"/>
      <c r="Q21" s="337"/>
      <c r="R21" s="337"/>
      <c r="S21" s="337"/>
      <c r="T21" s="337"/>
      <c r="U21" s="337"/>
      <c r="V21" s="337"/>
      <c r="W21" s="337"/>
      <c r="X21" s="337"/>
      <c r="Y21" s="337"/>
      <c r="Z21" s="337"/>
      <c r="AA21" s="337"/>
      <c r="AB21" s="338"/>
      <c r="AC21" s="275"/>
      <c r="AD21" s="271"/>
      <c r="AE21" s="270"/>
      <c r="AF21" s="275"/>
      <c r="AG21" s="271"/>
    </row>
    <row r="22" spans="1:33" ht="40.5" customHeight="1" thickBot="1" x14ac:dyDescent="0.45">
      <c r="B22" s="370"/>
      <c r="C22" s="281"/>
      <c r="D22" s="281"/>
      <c r="E22" s="281"/>
      <c r="F22" s="353"/>
      <c r="G22" s="353"/>
      <c r="H22" s="353"/>
      <c r="I22" s="354"/>
      <c r="J22" s="319" t="s">
        <v>104</v>
      </c>
      <c r="K22" s="390"/>
      <c r="L22" s="394">
        <v>5.0999999999999996</v>
      </c>
      <c r="M22" s="395"/>
      <c r="N22" s="395"/>
      <c r="O22" s="336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8"/>
      <c r="AC22" s="276"/>
      <c r="AD22" s="273"/>
      <c r="AE22" s="272"/>
      <c r="AF22" s="276"/>
      <c r="AG22" s="273"/>
    </row>
    <row r="23" spans="1:33" ht="22.5" customHeight="1" thickBot="1" x14ac:dyDescent="0.45">
      <c r="B23" s="45" t="s">
        <v>41</v>
      </c>
      <c r="C23" s="46">
        <v>6</v>
      </c>
      <c r="D23" s="371" t="s">
        <v>45</v>
      </c>
      <c r="E23" s="371"/>
      <c r="F23" s="347" t="s">
        <v>53</v>
      </c>
      <c r="G23" s="347"/>
      <c r="H23" s="347"/>
      <c r="I23" s="387"/>
      <c r="J23" s="399" t="s">
        <v>420</v>
      </c>
      <c r="K23" s="400"/>
      <c r="L23" s="400"/>
      <c r="M23" s="400"/>
      <c r="N23" s="400"/>
      <c r="O23" s="400"/>
      <c r="P23" s="400"/>
      <c r="Q23" s="400"/>
      <c r="R23" s="400"/>
      <c r="S23" s="400"/>
      <c r="T23" s="400"/>
      <c r="U23" s="400"/>
      <c r="V23" s="400"/>
      <c r="W23" s="400"/>
      <c r="X23" s="400"/>
      <c r="Y23" s="400"/>
      <c r="Z23" s="400"/>
      <c r="AA23" s="400"/>
      <c r="AB23" s="401"/>
      <c r="AC23" s="276"/>
      <c r="AD23" s="273"/>
      <c r="AE23" s="386"/>
      <c r="AF23" s="381"/>
      <c r="AG23" s="382"/>
    </row>
    <row r="24" spans="1:33" ht="23.25" customHeight="1" thickBot="1" x14ac:dyDescent="0.45">
      <c r="B24" s="45" t="s">
        <v>41</v>
      </c>
      <c r="C24" s="46">
        <v>7</v>
      </c>
      <c r="D24" s="371" t="s">
        <v>46</v>
      </c>
      <c r="E24" s="371"/>
      <c r="F24" s="347" t="s">
        <v>54</v>
      </c>
      <c r="G24" s="347"/>
      <c r="H24" s="347"/>
      <c r="I24" s="387"/>
      <c r="J24" s="399">
        <v>0.01</v>
      </c>
      <c r="K24" s="400"/>
      <c r="L24" s="400"/>
      <c r="M24" s="400"/>
      <c r="N24" s="400"/>
      <c r="O24" s="400"/>
      <c r="P24" s="400"/>
      <c r="Q24" s="400"/>
      <c r="R24" s="400"/>
      <c r="S24" s="400"/>
      <c r="T24" s="400"/>
      <c r="U24" s="400"/>
      <c r="V24" s="400"/>
      <c r="W24" s="400"/>
      <c r="X24" s="400"/>
      <c r="Y24" s="400"/>
      <c r="Z24" s="400"/>
      <c r="AA24" s="400"/>
      <c r="AB24" s="401"/>
      <c r="AC24" s="381" t="s">
        <v>200</v>
      </c>
      <c r="AD24" s="382"/>
      <c r="AE24" s="386"/>
      <c r="AF24" s="381"/>
      <c r="AG24" s="382"/>
    </row>
    <row r="25" spans="1:33" ht="23.25" customHeight="1" thickBot="1" x14ac:dyDescent="0.45">
      <c r="B25" s="62" t="s">
        <v>41</v>
      </c>
      <c r="C25" s="63">
        <v>8</v>
      </c>
      <c r="D25" s="303" t="s">
        <v>175</v>
      </c>
      <c r="E25" s="303"/>
      <c r="F25" s="419" t="s">
        <v>205</v>
      </c>
      <c r="G25" s="419"/>
      <c r="H25" s="419"/>
      <c r="I25" s="420"/>
      <c r="J25" s="319" t="s">
        <v>176</v>
      </c>
      <c r="K25" s="390"/>
      <c r="L25" s="391" t="s">
        <v>421</v>
      </c>
      <c r="M25" s="392"/>
      <c r="N25" s="393"/>
      <c r="O25" s="408"/>
      <c r="P25" s="409"/>
      <c r="Q25" s="409"/>
      <c r="R25" s="409"/>
      <c r="S25" s="409"/>
      <c r="T25" s="409"/>
      <c r="U25" s="409"/>
      <c r="V25" s="409"/>
      <c r="W25" s="409"/>
      <c r="X25" s="409"/>
      <c r="Y25" s="409"/>
      <c r="Z25" s="409"/>
      <c r="AA25" s="409"/>
      <c r="AB25" s="410"/>
      <c r="AC25" s="274"/>
      <c r="AD25" s="269"/>
      <c r="AE25" s="268"/>
      <c r="AF25" s="274"/>
      <c r="AG25" s="269"/>
    </row>
    <row r="26" spans="1:33" s="43" customFormat="1" ht="33" customHeight="1" x14ac:dyDescent="0.4">
      <c r="A26" s="42"/>
      <c r="B26" s="422" t="s">
        <v>56</v>
      </c>
      <c r="C26" s="303">
        <v>9</v>
      </c>
      <c r="D26" s="535" t="s">
        <v>100</v>
      </c>
      <c r="E26" s="536"/>
      <c r="F26" s="274" t="s">
        <v>246</v>
      </c>
      <c r="G26" s="274"/>
      <c r="H26" s="274"/>
      <c r="I26" s="269"/>
      <c r="J26" s="428" t="s">
        <v>91</v>
      </c>
      <c r="K26" s="429"/>
      <c r="L26" s="63" t="s">
        <v>164</v>
      </c>
      <c r="M26" s="64" t="s">
        <v>153</v>
      </c>
      <c r="N26" s="64" t="s">
        <v>165</v>
      </c>
      <c r="O26" s="63" t="s">
        <v>160</v>
      </c>
      <c r="P26" s="63" t="s">
        <v>161</v>
      </c>
      <c r="Q26" s="64" t="s">
        <v>154</v>
      </c>
      <c r="R26" s="64" t="s">
        <v>155</v>
      </c>
      <c r="S26" s="303" t="s">
        <v>156</v>
      </c>
      <c r="T26" s="303"/>
      <c r="U26" s="64" t="s">
        <v>284</v>
      </c>
      <c r="V26" s="64" t="s">
        <v>279</v>
      </c>
      <c r="W26" s="64" t="s">
        <v>280</v>
      </c>
      <c r="X26" s="63" t="s">
        <v>281</v>
      </c>
      <c r="Y26" s="63" t="s">
        <v>282</v>
      </c>
      <c r="Z26" s="65" t="s">
        <v>283</v>
      </c>
      <c r="AA26" s="333"/>
      <c r="AB26" s="335"/>
      <c r="AC26" s="268"/>
      <c r="AD26" s="269"/>
      <c r="AE26" s="268"/>
      <c r="AF26" s="274"/>
      <c r="AG26" s="269"/>
    </row>
    <row r="27" spans="1:33" ht="21.75" customHeight="1" x14ac:dyDescent="0.4">
      <c r="B27" s="423"/>
      <c r="C27" s="304"/>
      <c r="D27" s="537"/>
      <c r="E27" s="538"/>
      <c r="F27" s="275"/>
      <c r="G27" s="275"/>
      <c r="H27" s="275"/>
      <c r="I27" s="271"/>
      <c r="J27" s="66" t="s">
        <v>151</v>
      </c>
      <c r="K27" s="36"/>
      <c r="L27" s="390" t="str">
        <f>馬達溫升實驗表格!C15</f>
        <v>水</v>
      </c>
      <c r="M27" s="67">
        <f>馬達溫升實驗表格!D15</f>
        <v>29.7</v>
      </c>
      <c r="N27" s="67">
        <f>馬達溫升實驗表格!E15</f>
        <v>36.1</v>
      </c>
      <c r="O27" s="67">
        <f>馬達溫升實驗表格!F15</f>
        <v>34.6</v>
      </c>
      <c r="P27" s="67">
        <f>馬達溫升實驗表格!G15</f>
        <v>32.1</v>
      </c>
      <c r="Q27" s="67">
        <f>馬達溫升實驗表格!H15</f>
        <v>29.6</v>
      </c>
      <c r="R27" s="67">
        <f>馬達溫升實驗表格!I15</f>
        <v>28.9</v>
      </c>
      <c r="S27" s="389">
        <f>馬達溫升實驗表格!J15</f>
        <v>150</v>
      </c>
      <c r="T27" s="389"/>
      <c r="U27" s="52">
        <f>馬達溫升實驗表格!K15</f>
        <v>4</v>
      </c>
      <c r="V27" s="68">
        <f>馬達溫升實驗表格!L15</f>
        <v>10</v>
      </c>
      <c r="W27" s="68">
        <f>馬達溫升實驗表格!M15</f>
        <v>25.6</v>
      </c>
      <c r="X27" s="68">
        <f>馬達溫升實驗表格!N15</f>
        <v>27.2</v>
      </c>
      <c r="Y27" s="69">
        <f>馬達溫升實驗表格!O15</f>
        <v>1.0934186666666652</v>
      </c>
      <c r="Z27" s="70">
        <f>馬達溫升實驗表格!P15</f>
        <v>3730.7444906666615</v>
      </c>
      <c r="AA27" s="336"/>
      <c r="AB27" s="338"/>
      <c r="AC27" s="270"/>
      <c r="AD27" s="271"/>
      <c r="AE27" s="270"/>
      <c r="AF27" s="275"/>
      <c r="AG27" s="271"/>
    </row>
    <row r="28" spans="1:33" ht="21.75" customHeight="1" x14ac:dyDescent="0.4">
      <c r="B28" s="423"/>
      <c r="C28" s="304"/>
      <c r="D28" s="537"/>
      <c r="E28" s="538"/>
      <c r="F28" s="275"/>
      <c r="G28" s="275"/>
      <c r="H28" s="275"/>
      <c r="I28" s="271"/>
      <c r="J28" s="66" t="s">
        <v>152</v>
      </c>
      <c r="K28" s="36"/>
      <c r="L28" s="304"/>
      <c r="M28" s="67">
        <f>馬達溫升實驗表格!D16</f>
        <v>29.9</v>
      </c>
      <c r="N28" s="67">
        <f>馬達溫升實驗表格!E16</f>
        <v>39.200000000000003</v>
      </c>
      <c r="O28" s="67">
        <f>馬達溫升實驗表格!F16</f>
        <v>67</v>
      </c>
      <c r="P28" s="67">
        <f>馬達溫升實驗表格!G16</f>
        <v>46</v>
      </c>
      <c r="Q28" s="67">
        <f>馬達溫升實驗表格!H16</f>
        <v>38.200000000000003</v>
      </c>
      <c r="R28" s="67">
        <f>馬達溫升實驗表格!I16</f>
        <v>31.7</v>
      </c>
      <c r="S28" s="389">
        <f>馬達溫升實驗表格!J16</f>
        <v>150</v>
      </c>
      <c r="T28" s="389"/>
      <c r="U28" s="52">
        <f>馬達溫升實驗表格!K16</f>
        <v>4</v>
      </c>
      <c r="V28" s="68">
        <f>馬達溫升實驗表格!L16</f>
        <v>10</v>
      </c>
      <c r="W28" s="68">
        <f>馬達溫升實驗表格!M16</f>
        <v>26.4</v>
      </c>
      <c r="X28" s="68">
        <f>馬達溫升實驗表格!N16</f>
        <v>27.9</v>
      </c>
      <c r="Y28" s="69">
        <f>馬達溫升實驗表格!O16</f>
        <v>1.02508</v>
      </c>
      <c r="Z28" s="70">
        <f>馬達溫升實驗表格!P16</f>
        <v>3497.57296</v>
      </c>
      <c r="AA28" s="336"/>
      <c r="AB28" s="338"/>
      <c r="AC28" s="270"/>
      <c r="AD28" s="271"/>
      <c r="AE28" s="270"/>
      <c r="AF28" s="275"/>
      <c r="AG28" s="271"/>
    </row>
    <row r="29" spans="1:33" ht="21.75" customHeight="1" x14ac:dyDescent="0.4">
      <c r="B29" s="423"/>
      <c r="C29" s="304"/>
      <c r="D29" s="537"/>
      <c r="E29" s="538"/>
      <c r="F29" s="275"/>
      <c r="G29" s="275"/>
      <c r="H29" s="275"/>
      <c r="I29" s="271"/>
      <c r="J29" s="66" t="s">
        <v>225</v>
      </c>
      <c r="K29" s="36"/>
      <c r="L29" s="434"/>
      <c r="M29" s="67">
        <f>馬達溫升實驗表格!D17</f>
        <v>35</v>
      </c>
      <c r="N29" s="67">
        <f>馬達溫升實驗表格!E17</f>
        <v>62.3</v>
      </c>
      <c r="O29" s="67">
        <f>馬達溫升實驗表格!F17</f>
        <v>41.1</v>
      </c>
      <c r="P29" s="67">
        <f>馬達溫升實驗表格!G17</f>
        <v>40.799999999999997</v>
      </c>
      <c r="Q29" s="67">
        <f>馬達溫升實驗表格!H17</f>
        <v>39.5</v>
      </c>
      <c r="R29" s="67">
        <f>馬達溫升實驗表格!I17</f>
        <v>35.200000000000003</v>
      </c>
      <c r="S29" s="411">
        <f>馬達溫升實驗表格!J17</f>
        <v>180</v>
      </c>
      <c r="T29" s="412"/>
      <c r="U29" s="52">
        <f>馬達溫升實驗表格!K17</f>
        <v>10</v>
      </c>
      <c r="V29" s="68">
        <f>馬達溫升實驗表格!L17</f>
        <v>10</v>
      </c>
      <c r="W29" s="68">
        <f>馬達溫升實驗表格!M17</f>
        <v>25.3</v>
      </c>
      <c r="X29" s="68">
        <f>馬達溫升實驗表格!N17</f>
        <v>27.5</v>
      </c>
      <c r="Y29" s="69">
        <f>馬達溫升實驗表格!O17</f>
        <v>1.5034506666666663</v>
      </c>
      <c r="Z29" s="71">
        <f>馬達溫升實驗表格!P17</f>
        <v>5129.7736746666651</v>
      </c>
      <c r="AA29" s="336"/>
      <c r="AB29" s="338"/>
      <c r="AC29" s="270"/>
      <c r="AD29" s="271"/>
      <c r="AE29" s="270"/>
      <c r="AF29" s="275"/>
      <c r="AG29" s="271"/>
    </row>
    <row r="30" spans="1:33" ht="21.75" customHeight="1" thickBot="1" x14ac:dyDescent="0.45">
      <c r="B30" s="424"/>
      <c r="C30" s="421"/>
      <c r="D30" s="539"/>
      <c r="E30" s="540"/>
      <c r="F30" s="276"/>
      <c r="G30" s="276"/>
      <c r="H30" s="276"/>
      <c r="I30" s="273"/>
      <c r="J30" s="494" t="s">
        <v>287</v>
      </c>
      <c r="K30" s="495"/>
      <c r="L30" s="495"/>
      <c r="M30" s="495"/>
      <c r="N30" s="495"/>
      <c r="O30" s="495"/>
      <c r="P30" s="495"/>
      <c r="Q30" s="495"/>
      <c r="R30" s="495"/>
      <c r="S30" s="495"/>
      <c r="T30" s="495"/>
      <c r="U30" s="495"/>
      <c r="V30" s="495"/>
      <c r="W30" s="495"/>
      <c r="X30" s="495"/>
      <c r="Y30" s="495"/>
      <c r="Z30" s="495"/>
      <c r="AA30" s="339"/>
      <c r="AB30" s="341"/>
      <c r="AC30" s="272"/>
      <c r="AD30" s="273"/>
      <c r="AE30" s="272"/>
      <c r="AF30" s="276"/>
      <c r="AG30" s="273"/>
    </row>
    <row r="31" spans="1:33" ht="85.9" customHeight="1" x14ac:dyDescent="0.4">
      <c r="B31" s="532" t="s">
        <v>56</v>
      </c>
      <c r="C31" s="303">
        <v>10</v>
      </c>
      <c r="D31" s="446" t="s">
        <v>214</v>
      </c>
      <c r="E31" s="447"/>
      <c r="F31" s="311" t="s">
        <v>247</v>
      </c>
      <c r="G31" s="312"/>
      <c r="H31" s="312"/>
      <c r="I31" s="313"/>
      <c r="J31" s="482" t="s">
        <v>218</v>
      </c>
      <c r="K31" s="480" t="s">
        <v>202</v>
      </c>
      <c r="L31" s="444" t="s">
        <v>148</v>
      </c>
      <c r="M31" s="444" t="s">
        <v>288</v>
      </c>
      <c r="N31" s="444" t="s">
        <v>106</v>
      </c>
      <c r="O31" s="303" t="s">
        <v>204</v>
      </c>
      <c r="P31" s="444" t="s">
        <v>108</v>
      </c>
      <c r="Q31" s="444" t="s">
        <v>261</v>
      </c>
      <c r="R31" s="444" t="s">
        <v>262</v>
      </c>
      <c r="S31" s="444" t="s">
        <v>263</v>
      </c>
      <c r="T31" s="444" t="s">
        <v>264</v>
      </c>
      <c r="U31" s="444" t="s">
        <v>265</v>
      </c>
      <c r="V31" s="444" t="s">
        <v>266</v>
      </c>
      <c r="W31" s="444" t="s">
        <v>122</v>
      </c>
      <c r="X31" s="444" t="s">
        <v>123</v>
      </c>
      <c r="Y31" s="444" t="s">
        <v>57</v>
      </c>
      <c r="Z31" s="496" t="s">
        <v>107</v>
      </c>
      <c r="AA31" s="259"/>
      <c r="AB31" s="261"/>
      <c r="AC31" s="274"/>
      <c r="AD31" s="269"/>
      <c r="AE31" s="268"/>
      <c r="AF31" s="274"/>
      <c r="AG31" s="269"/>
    </row>
    <row r="32" spans="1:33" ht="22" customHeight="1" x14ac:dyDescent="0.4">
      <c r="B32" s="533"/>
      <c r="C32" s="304"/>
      <c r="D32" s="323"/>
      <c r="E32" s="324"/>
      <c r="F32" s="314"/>
      <c r="G32" s="315"/>
      <c r="H32" s="315"/>
      <c r="I32" s="316"/>
      <c r="J32" s="483"/>
      <c r="K32" s="481"/>
      <c r="L32" s="445"/>
      <c r="M32" s="445"/>
      <c r="N32" s="445"/>
      <c r="O32" s="434"/>
      <c r="P32" s="445"/>
      <c r="Q32" s="445"/>
      <c r="R32" s="445"/>
      <c r="S32" s="445"/>
      <c r="T32" s="445"/>
      <c r="U32" s="445"/>
      <c r="V32" s="445"/>
      <c r="W32" s="445"/>
      <c r="X32" s="445"/>
      <c r="Y32" s="445"/>
      <c r="Z32" s="497"/>
      <c r="AA32" s="262"/>
      <c r="AB32" s="264"/>
      <c r="AC32" s="275"/>
      <c r="AD32" s="271"/>
      <c r="AE32" s="270"/>
      <c r="AF32" s="275"/>
      <c r="AG32" s="271"/>
    </row>
    <row r="33" spans="2:33" ht="22" customHeight="1" x14ac:dyDescent="0.4">
      <c r="B33" s="533"/>
      <c r="C33" s="304"/>
      <c r="D33" s="323"/>
      <c r="E33" s="324"/>
      <c r="F33" s="314"/>
      <c r="G33" s="315"/>
      <c r="H33" s="315"/>
      <c r="I33" s="316"/>
      <c r="J33" s="72">
        <v>0.5</v>
      </c>
      <c r="K33" s="73">
        <f>J33*$J$3</f>
        <v>750</v>
      </c>
      <c r="L33" s="74">
        <v>1</v>
      </c>
      <c r="M33" s="75">
        <f>L33*$N$3</f>
        <v>70</v>
      </c>
      <c r="N33" s="113">
        <v>749</v>
      </c>
      <c r="O33" s="113">
        <v>26.4</v>
      </c>
      <c r="P33" s="113">
        <v>70.14</v>
      </c>
      <c r="Q33" s="113">
        <v>134.1</v>
      </c>
      <c r="R33" s="113">
        <v>134.19999999999999</v>
      </c>
      <c r="S33" s="113" t="s">
        <v>415</v>
      </c>
      <c r="T33" s="113">
        <v>32.200000000000003</v>
      </c>
      <c r="U33" s="113">
        <v>32.299999999999997</v>
      </c>
      <c r="V33" s="113">
        <v>32.1</v>
      </c>
      <c r="W33" s="113">
        <v>6.75</v>
      </c>
      <c r="X33" s="113">
        <v>5.5</v>
      </c>
      <c r="Y33" s="113">
        <v>0.89</v>
      </c>
      <c r="Z33" s="113">
        <v>81.599999999999994</v>
      </c>
      <c r="AA33" s="262"/>
      <c r="AB33" s="264"/>
      <c r="AC33" s="275"/>
      <c r="AD33" s="271"/>
      <c r="AE33" s="270"/>
      <c r="AF33" s="275"/>
      <c r="AG33" s="271"/>
    </row>
    <row r="34" spans="2:33" ht="22" customHeight="1" x14ac:dyDescent="0.4">
      <c r="B34" s="533"/>
      <c r="C34" s="304"/>
      <c r="D34" s="323"/>
      <c r="E34" s="324"/>
      <c r="F34" s="314"/>
      <c r="G34" s="315"/>
      <c r="H34" s="315"/>
      <c r="I34" s="316"/>
      <c r="J34" s="72">
        <v>1</v>
      </c>
      <c r="K34" s="73">
        <f t="shared" ref="K34:K40" si="0">J34*$J$3</f>
        <v>1500</v>
      </c>
      <c r="L34" s="74">
        <v>1</v>
      </c>
      <c r="M34" s="75">
        <f>L34*$N$3</f>
        <v>70</v>
      </c>
      <c r="N34" s="113">
        <v>1502</v>
      </c>
      <c r="O34" s="113">
        <v>51.3</v>
      </c>
      <c r="P34" s="113">
        <v>69.36</v>
      </c>
      <c r="Q34" s="113">
        <v>257.5</v>
      </c>
      <c r="R34" s="113">
        <v>257.5</v>
      </c>
      <c r="S34" s="113">
        <v>257.7</v>
      </c>
      <c r="T34" s="113">
        <v>32.299999999999997</v>
      </c>
      <c r="U34" s="113">
        <v>32.1</v>
      </c>
      <c r="V34" s="113">
        <v>32.200000000000003</v>
      </c>
      <c r="W34" s="113">
        <v>12.53</v>
      </c>
      <c r="X34" s="113">
        <v>10.91</v>
      </c>
      <c r="Y34" s="113">
        <v>0.87</v>
      </c>
      <c r="Z34" s="113">
        <v>87</v>
      </c>
      <c r="AA34" s="262"/>
      <c r="AB34" s="264"/>
      <c r="AC34" s="275"/>
      <c r="AD34" s="271"/>
      <c r="AE34" s="270"/>
      <c r="AF34" s="275"/>
      <c r="AG34" s="271"/>
    </row>
    <row r="35" spans="2:33" ht="22" customHeight="1" x14ac:dyDescent="0.4">
      <c r="B35" s="533"/>
      <c r="C35" s="304"/>
      <c r="D35" s="323"/>
      <c r="E35" s="324"/>
      <c r="F35" s="314"/>
      <c r="G35" s="315"/>
      <c r="H35" s="315"/>
      <c r="I35" s="316"/>
      <c r="J35" s="76">
        <v>1.5</v>
      </c>
      <c r="K35" s="73">
        <f t="shared" si="0"/>
        <v>2250</v>
      </c>
      <c r="L35" s="77">
        <f t="shared" ref="L35:L40" si="1">IF($M35 = $N$3/$J35,1/$J35,M35/$N$3)</f>
        <v>0.66666666666666663</v>
      </c>
      <c r="M35" s="195">
        <f t="shared" ref="M35:M40" si="2">$N$3/$J35</f>
        <v>46.666666666666664</v>
      </c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262"/>
      <c r="AB35" s="264"/>
      <c r="AC35" s="275"/>
      <c r="AD35" s="271"/>
      <c r="AE35" s="270"/>
      <c r="AF35" s="275"/>
      <c r="AG35" s="271"/>
    </row>
    <row r="36" spans="2:33" ht="22" customHeight="1" x14ac:dyDescent="0.4">
      <c r="B36" s="533"/>
      <c r="C36" s="304"/>
      <c r="D36" s="323"/>
      <c r="E36" s="324"/>
      <c r="F36" s="314"/>
      <c r="G36" s="315"/>
      <c r="H36" s="315"/>
      <c r="I36" s="316"/>
      <c r="J36" s="76">
        <v>2</v>
      </c>
      <c r="K36" s="73">
        <f>J36*$J$3</f>
        <v>3000</v>
      </c>
      <c r="L36" s="77">
        <f t="shared" si="1"/>
        <v>0.5</v>
      </c>
      <c r="M36" s="195">
        <f t="shared" si="2"/>
        <v>35</v>
      </c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262"/>
      <c r="AB36" s="264"/>
      <c r="AC36" s="275"/>
      <c r="AD36" s="271"/>
      <c r="AE36" s="270"/>
      <c r="AF36" s="275"/>
      <c r="AG36" s="271"/>
    </row>
    <row r="37" spans="2:33" ht="22" customHeight="1" x14ac:dyDescent="0.4">
      <c r="B37" s="533"/>
      <c r="C37" s="304"/>
      <c r="D37" s="323"/>
      <c r="E37" s="324"/>
      <c r="F37" s="314"/>
      <c r="G37" s="315"/>
      <c r="H37" s="315"/>
      <c r="I37" s="316"/>
      <c r="J37" s="76">
        <v>2.5</v>
      </c>
      <c r="K37" s="73">
        <f t="shared" si="0"/>
        <v>3750</v>
      </c>
      <c r="L37" s="77">
        <f t="shared" si="1"/>
        <v>0.4</v>
      </c>
      <c r="M37" s="195">
        <f t="shared" si="2"/>
        <v>28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262"/>
      <c r="AB37" s="264"/>
      <c r="AC37" s="275"/>
      <c r="AD37" s="271"/>
      <c r="AE37" s="270"/>
      <c r="AF37" s="275"/>
      <c r="AG37" s="271"/>
    </row>
    <row r="38" spans="2:33" ht="22" customHeight="1" x14ac:dyDescent="0.4">
      <c r="B38" s="533"/>
      <c r="C38" s="304"/>
      <c r="D38" s="323"/>
      <c r="E38" s="324"/>
      <c r="F38" s="314"/>
      <c r="G38" s="315"/>
      <c r="H38" s="315"/>
      <c r="I38" s="316"/>
      <c r="J38" s="76">
        <v>3</v>
      </c>
      <c r="K38" s="73">
        <f t="shared" si="0"/>
        <v>4500</v>
      </c>
      <c r="L38" s="77">
        <f t="shared" si="1"/>
        <v>0.33333333333333331</v>
      </c>
      <c r="M38" s="195">
        <f t="shared" si="2"/>
        <v>23.333333333333332</v>
      </c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50"/>
      <c r="Z38" s="59"/>
      <c r="AA38" s="262"/>
      <c r="AB38" s="264"/>
      <c r="AC38" s="275"/>
      <c r="AD38" s="271"/>
      <c r="AE38" s="270"/>
      <c r="AF38" s="275"/>
      <c r="AG38" s="271"/>
    </row>
    <row r="39" spans="2:33" ht="22" customHeight="1" x14ac:dyDescent="0.4">
      <c r="B39" s="533"/>
      <c r="C39" s="304"/>
      <c r="D39" s="323"/>
      <c r="E39" s="324"/>
      <c r="F39" s="314"/>
      <c r="G39" s="315"/>
      <c r="H39" s="315"/>
      <c r="I39" s="316"/>
      <c r="J39" s="76">
        <v>3.5</v>
      </c>
      <c r="K39" s="73">
        <f t="shared" si="0"/>
        <v>5250</v>
      </c>
      <c r="L39" s="77">
        <f t="shared" si="1"/>
        <v>0.2857142857142857</v>
      </c>
      <c r="M39" s="195">
        <f t="shared" si="2"/>
        <v>20</v>
      </c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50"/>
      <c r="Z39" s="59"/>
      <c r="AA39" s="262"/>
      <c r="AB39" s="264"/>
      <c r="AC39" s="275"/>
      <c r="AD39" s="271"/>
      <c r="AE39" s="270"/>
      <c r="AF39" s="275"/>
      <c r="AG39" s="271"/>
    </row>
    <row r="40" spans="2:33" ht="24.65" customHeight="1" x14ac:dyDescent="0.4">
      <c r="B40" s="533"/>
      <c r="C40" s="304"/>
      <c r="D40" s="323"/>
      <c r="E40" s="324"/>
      <c r="F40" s="314"/>
      <c r="G40" s="315"/>
      <c r="H40" s="315"/>
      <c r="I40" s="316"/>
      <c r="J40" s="76">
        <v>4</v>
      </c>
      <c r="K40" s="73">
        <f t="shared" si="0"/>
        <v>6000</v>
      </c>
      <c r="L40" s="77">
        <f t="shared" si="1"/>
        <v>0.25</v>
      </c>
      <c r="M40" s="195">
        <f t="shared" si="2"/>
        <v>17.5</v>
      </c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50"/>
      <c r="Z40" s="59"/>
      <c r="AA40" s="262"/>
      <c r="AB40" s="264"/>
      <c r="AC40" s="275"/>
      <c r="AD40" s="271"/>
      <c r="AE40" s="270"/>
      <c r="AF40" s="275"/>
      <c r="AG40" s="271"/>
    </row>
    <row r="41" spans="2:33" ht="22.15" customHeight="1" thickBot="1" x14ac:dyDescent="0.45">
      <c r="B41" s="533"/>
      <c r="C41" s="304"/>
      <c r="D41" s="323"/>
      <c r="E41" s="324"/>
      <c r="F41" s="314"/>
      <c r="G41" s="315"/>
      <c r="H41" s="315"/>
      <c r="I41" s="316"/>
      <c r="J41" s="222" t="s">
        <v>147</v>
      </c>
      <c r="K41" s="78">
        <f>H5</f>
        <v>8000</v>
      </c>
      <c r="L41" s="199">
        <f>IF($M41 = $N$3/($H$5/$J$3),1/($H$5/$J$3),$M40/$N$3)</f>
        <v>0.1875</v>
      </c>
      <c r="M41" s="198">
        <f>$N$3/($H$5/$J3)</f>
        <v>13.125</v>
      </c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80"/>
      <c r="Z41" s="81"/>
      <c r="AA41" s="265"/>
      <c r="AB41" s="267"/>
      <c r="AC41" s="276"/>
      <c r="AD41" s="273"/>
      <c r="AE41" s="272"/>
      <c r="AF41" s="276"/>
      <c r="AG41" s="273"/>
    </row>
    <row r="42" spans="2:33" ht="39.65" customHeight="1" x14ac:dyDescent="0.4">
      <c r="B42" s="532" t="s">
        <v>210</v>
      </c>
      <c r="C42" s="303">
        <v>11</v>
      </c>
      <c r="D42" s="471" t="s">
        <v>367</v>
      </c>
      <c r="E42" s="471"/>
      <c r="F42" s="349" t="s">
        <v>384</v>
      </c>
      <c r="G42" s="349"/>
      <c r="H42" s="349"/>
      <c r="I42" s="349"/>
      <c r="J42" s="327" t="s">
        <v>219</v>
      </c>
      <c r="K42" s="327" t="s">
        <v>202</v>
      </c>
      <c r="L42" s="327" t="s">
        <v>148</v>
      </c>
      <c r="M42" s="327" t="s">
        <v>215</v>
      </c>
      <c r="N42" s="327" t="s">
        <v>106</v>
      </c>
      <c r="O42" s="257" t="s">
        <v>204</v>
      </c>
      <c r="P42" s="327" t="s">
        <v>108</v>
      </c>
      <c r="Q42" s="327" t="s">
        <v>261</v>
      </c>
      <c r="R42" s="327" t="s">
        <v>262</v>
      </c>
      <c r="S42" s="327" t="s">
        <v>263</v>
      </c>
      <c r="T42" s="327" t="s">
        <v>264</v>
      </c>
      <c r="U42" s="327" t="s">
        <v>265</v>
      </c>
      <c r="V42" s="327" t="s">
        <v>266</v>
      </c>
      <c r="W42" s="327" t="s">
        <v>122</v>
      </c>
      <c r="X42" s="327" t="s">
        <v>123</v>
      </c>
      <c r="Y42" s="327" t="s">
        <v>57</v>
      </c>
      <c r="Z42" s="498" t="s">
        <v>107</v>
      </c>
      <c r="AA42" s="260"/>
      <c r="AB42" s="261"/>
      <c r="AC42" s="268"/>
      <c r="AD42" s="269"/>
      <c r="AE42" s="268"/>
      <c r="AF42" s="274"/>
      <c r="AG42" s="269"/>
    </row>
    <row r="43" spans="2:33" ht="22" customHeight="1" x14ac:dyDescent="0.4">
      <c r="B43" s="533"/>
      <c r="C43" s="304"/>
      <c r="D43" s="472"/>
      <c r="E43" s="472"/>
      <c r="F43" s="351"/>
      <c r="G43" s="351"/>
      <c r="H43" s="351"/>
      <c r="I43" s="351"/>
      <c r="J43" s="328"/>
      <c r="K43" s="328"/>
      <c r="L43" s="328"/>
      <c r="M43" s="328"/>
      <c r="N43" s="328"/>
      <c r="O43" s="280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499"/>
      <c r="AA43" s="263"/>
      <c r="AB43" s="264"/>
      <c r="AC43" s="270"/>
      <c r="AD43" s="271"/>
      <c r="AE43" s="270"/>
      <c r="AF43" s="275"/>
      <c r="AG43" s="271"/>
    </row>
    <row r="44" spans="2:33" ht="22" customHeight="1" x14ac:dyDescent="0.4">
      <c r="B44" s="533"/>
      <c r="C44" s="304"/>
      <c r="D44" s="472"/>
      <c r="E44" s="472"/>
      <c r="F44" s="351"/>
      <c r="G44" s="351"/>
      <c r="H44" s="351"/>
      <c r="I44" s="351"/>
      <c r="J44" s="218" t="str">
        <f>IF(J3&gt;Y3,Y3/J3*100%,"50%")</f>
        <v>50%</v>
      </c>
      <c r="K44" s="75">
        <f>J44*$J$3</f>
        <v>750</v>
      </c>
      <c r="L44" s="77">
        <f>M44/N3</f>
        <v>1.5</v>
      </c>
      <c r="M44" s="75">
        <f>IF(J3&gt;Y3,Y3*Y5/K44,Y5)</f>
        <v>105</v>
      </c>
      <c r="N44" s="113">
        <v>749</v>
      </c>
      <c r="O44" s="113">
        <v>27.4</v>
      </c>
      <c r="P44" s="113">
        <v>105.3</v>
      </c>
      <c r="Q44" s="113">
        <v>138.6</v>
      </c>
      <c r="R44" s="113">
        <v>138.5</v>
      </c>
      <c r="S44" s="113">
        <v>138.5</v>
      </c>
      <c r="T44" s="113">
        <v>48.4</v>
      </c>
      <c r="U44" s="113">
        <v>48.2</v>
      </c>
      <c r="V44" s="113">
        <v>48.3</v>
      </c>
      <c r="W44" s="113">
        <v>10.65</v>
      </c>
      <c r="X44" s="113">
        <v>8.27</v>
      </c>
      <c r="Y44" s="113">
        <v>0.91</v>
      </c>
      <c r="Z44" s="200">
        <v>77.599999999999994</v>
      </c>
      <c r="AA44" s="263"/>
      <c r="AB44" s="264"/>
      <c r="AC44" s="270"/>
      <c r="AD44" s="271"/>
      <c r="AE44" s="270"/>
      <c r="AF44" s="275"/>
      <c r="AG44" s="271"/>
    </row>
    <row r="45" spans="2:33" ht="22" customHeight="1" x14ac:dyDescent="0.4">
      <c r="B45" s="533"/>
      <c r="C45" s="304"/>
      <c r="D45" s="472"/>
      <c r="E45" s="472"/>
      <c r="F45" s="351"/>
      <c r="G45" s="351"/>
      <c r="H45" s="351"/>
      <c r="I45" s="351"/>
      <c r="J45" s="77">
        <v>1</v>
      </c>
      <c r="K45" s="75">
        <f>J45*$J$3</f>
        <v>1500</v>
      </c>
      <c r="L45" s="77">
        <f xml:space="preserve"> IF($M45 = $N$3*1.5/$J45,1.5/$J45,$M45/$N$3)</f>
        <v>1.5</v>
      </c>
      <c r="M45" s="201">
        <f>IF(J3&gt;Y3,Y3*Y5/K45,Y5)</f>
        <v>105</v>
      </c>
      <c r="N45" s="113">
        <v>1490</v>
      </c>
      <c r="O45" s="113">
        <v>55</v>
      </c>
      <c r="P45" s="113">
        <v>105.9</v>
      </c>
      <c r="Q45" s="113">
        <v>258.3</v>
      </c>
      <c r="R45" s="113">
        <v>258.3</v>
      </c>
      <c r="S45" s="113">
        <v>258.39999999999998</v>
      </c>
      <c r="T45" s="113">
        <v>48.3</v>
      </c>
      <c r="U45" s="113">
        <v>48.1</v>
      </c>
      <c r="V45" s="113">
        <v>48.2</v>
      </c>
      <c r="W45" s="113">
        <v>19.510000000000002</v>
      </c>
      <c r="X45" s="113">
        <v>16.399999999999999</v>
      </c>
      <c r="Y45" s="113">
        <v>0.91</v>
      </c>
      <c r="Z45" s="200">
        <v>83.2</v>
      </c>
      <c r="AA45" s="263"/>
      <c r="AB45" s="264"/>
      <c r="AC45" s="270"/>
      <c r="AD45" s="271"/>
      <c r="AE45" s="270"/>
      <c r="AF45" s="275"/>
      <c r="AG45" s="271"/>
    </row>
    <row r="46" spans="2:33" ht="22" customHeight="1" x14ac:dyDescent="0.4">
      <c r="B46" s="533"/>
      <c r="C46" s="304"/>
      <c r="D46" s="472"/>
      <c r="E46" s="472"/>
      <c r="F46" s="351"/>
      <c r="G46" s="351"/>
      <c r="H46" s="351"/>
      <c r="I46" s="351"/>
      <c r="J46" s="77">
        <v>1.5</v>
      </c>
      <c r="K46" s="75">
        <f t="shared" ref="K46:K51" si="3">J46*$J$3</f>
        <v>2250</v>
      </c>
      <c r="L46" s="77">
        <f t="shared" ref="L46:L51" si="4" xml:space="preserve"> IF($M46 = $N$3*1.5/$J46,1.5/$J46,$M46/$N$3)</f>
        <v>1</v>
      </c>
      <c r="M46" s="195">
        <f t="shared" ref="M46:M51" si="5">$N$3*L45*J45/J46</f>
        <v>70</v>
      </c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200"/>
      <c r="AA46" s="263"/>
      <c r="AB46" s="264"/>
      <c r="AC46" s="270"/>
      <c r="AD46" s="271"/>
      <c r="AE46" s="270"/>
      <c r="AF46" s="275"/>
      <c r="AG46" s="271"/>
    </row>
    <row r="47" spans="2:33" ht="22" customHeight="1" x14ac:dyDescent="0.4">
      <c r="B47" s="533"/>
      <c r="C47" s="304"/>
      <c r="D47" s="472"/>
      <c r="E47" s="472"/>
      <c r="F47" s="351"/>
      <c r="G47" s="351"/>
      <c r="H47" s="351"/>
      <c r="I47" s="351"/>
      <c r="J47" s="77">
        <v>2</v>
      </c>
      <c r="K47" s="75">
        <f t="shared" si="3"/>
        <v>3000</v>
      </c>
      <c r="L47" s="77">
        <f t="shared" si="4"/>
        <v>0.75</v>
      </c>
      <c r="M47" s="195">
        <f t="shared" si="5"/>
        <v>52.5</v>
      </c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200"/>
      <c r="AA47" s="263"/>
      <c r="AB47" s="264"/>
      <c r="AC47" s="270"/>
      <c r="AD47" s="271"/>
      <c r="AE47" s="270"/>
      <c r="AF47" s="275"/>
      <c r="AG47" s="271"/>
    </row>
    <row r="48" spans="2:33" ht="22" customHeight="1" x14ac:dyDescent="0.4">
      <c r="B48" s="533"/>
      <c r="C48" s="304"/>
      <c r="D48" s="472"/>
      <c r="E48" s="472"/>
      <c r="F48" s="351"/>
      <c r="G48" s="351"/>
      <c r="H48" s="351"/>
      <c r="I48" s="351"/>
      <c r="J48" s="77">
        <v>2.5</v>
      </c>
      <c r="K48" s="75">
        <f>J48*$J$3</f>
        <v>3750</v>
      </c>
      <c r="L48" s="77">
        <f t="shared" si="4"/>
        <v>0.6</v>
      </c>
      <c r="M48" s="195">
        <f t="shared" si="5"/>
        <v>42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200"/>
      <c r="AA48" s="263"/>
      <c r="AB48" s="264"/>
      <c r="AC48" s="270"/>
      <c r="AD48" s="271"/>
      <c r="AE48" s="270"/>
      <c r="AF48" s="275"/>
      <c r="AG48" s="271"/>
    </row>
    <row r="49" spans="2:33" ht="22" customHeight="1" x14ac:dyDescent="0.4">
      <c r="B49" s="533"/>
      <c r="C49" s="304"/>
      <c r="D49" s="472"/>
      <c r="E49" s="472"/>
      <c r="F49" s="351"/>
      <c r="G49" s="351"/>
      <c r="H49" s="351"/>
      <c r="I49" s="351"/>
      <c r="J49" s="77">
        <v>3</v>
      </c>
      <c r="K49" s="75">
        <f t="shared" si="3"/>
        <v>4500</v>
      </c>
      <c r="L49" s="77">
        <f t="shared" si="4"/>
        <v>0.5</v>
      </c>
      <c r="M49" s="195">
        <f t="shared" si="5"/>
        <v>35</v>
      </c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200"/>
      <c r="AA49" s="263"/>
      <c r="AB49" s="264"/>
      <c r="AC49" s="270"/>
      <c r="AD49" s="271"/>
      <c r="AE49" s="270"/>
      <c r="AF49" s="275"/>
      <c r="AG49" s="271"/>
    </row>
    <row r="50" spans="2:33" ht="22" customHeight="1" x14ac:dyDescent="0.4">
      <c r="B50" s="533"/>
      <c r="C50" s="304"/>
      <c r="D50" s="472"/>
      <c r="E50" s="472"/>
      <c r="F50" s="351"/>
      <c r="G50" s="351"/>
      <c r="H50" s="351"/>
      <c r="I50" s="351"/>
      <c r="J50" s="77">
        <v>3.5</v>
      </c>
      <c r="K50" s="75">
        <f t="shared" si="3"/>
        <v>5250</v>
      </c>
      <c r="L50" s="77">
        <f t="shared" si="4"/>
        <v>0.42857142857142855</v>
      </c>
      <c r="M50" s="195">
        <f t="shared" si="5"/>
        <v>30</v>
      </c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200"/>
      <c r="AA50" s="263"/>
      <c r="AB50" s="264"/>
      <c r="AC50" s="270"/>
      <c r="AD50" s="271"/>
      <c r="AE50" s="270"/>
      <c r="AF50" s="275"/>
      <c r="AG50" s="271"/>
    </row>
    <row r="51" spans="2:33" ht="22" customHeight="1" x14ac:dyDescent="0.4">
      <c r="B51" s="533"/>
      <c r="C51" s="304"/>
      <c r="D51" s="472"/>
      <c r="E51" s="472"/>
      <c r="F51" s="351"/>
      <c r="G51" s="351"/>
      <c r="H51" s="351"/>
      <c r="I51" s="351"/>
      <c r="J51" s="77">
        <v>4</v>
      </c>
      <c r="K51" s="75">
        <f t="shared" si="3"/>
        <v>6000</v>
      </c>
      <c r="L51" s="77">
        <f t="shared" si="4"/>
        <v>0.375</v>
      </c>
      <c r="M51" s="195">
        <f t="shared" si="5"/>
        <v>26.25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200"/>
      <c r="AA51" s="263"/>
      <c r="AB51" s="264"/>
      <c r="AC51" s="270"/>
      <c r="AD51" s="271"/>
      <c r="AE51" s="270"/>
      <c r="AF51" s="275"/>
      <c r="AG51" s="271"/>
    </row>
    <row r="52" spans="2:33" ht="24.75" customHeight="1" x14ac:dyDescent="0.4">
      <c r="B52" s="533"/>
      <c r="C52" s="304"/>
      <c r="D52" s="472"/>
      <c r="E52" s="472"/>
      <c r="F52" s="351"/>
      <c r="G52" s="351"/>
      <c r="H52" s="351"/>
      <c r="I52" s="351"/>
      <c r="J52" s="218" t="s">
        <v>211</v>
      </c>
      <c r="K52" s="75">
        <f>H5</f>
        <v>8000</v>
      </c>
      <c r="L52" s="77">
        <f>IF($M41 = $N$3/($H$5/$J$3),1/($H$5/$J$3),$M40/$N$3)</f>
        <v>0.1875</v>
      </c>
      <c r="M52" s="195">
        <f>$N$3*L51*J51/(H5/J3)</f>
        <v>19.6875</v>
      </c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200"/>
      <c r="AA52" s="263"/>
      <c r="AB52" s="264"/>
      <c r="AC52" s="270"/>
      <c r="AD52" s="271"/>
      <c r="AE52" s="270"/>
      <c r="AF52" s="275"/>
      <c r="AG52" s="271"/>
    </row>
    <row r="53" spans="2:33" ht="21.75" customHeight="1" thickBot="1" x14ac:dyDescent="0.45">
      <c r="B53" s="534"/>
      <c r="C53" s="421"/>
      <c r="D53" s="473"/>
      <c r="E53" s="473"/>
      <c r="F53" s="353" t="s">
        <v>224</v>
      </c>
      <c r="G53" s="353"/>
      <c r="H53" s="353"/>
      <c r="I53" s="353"/>
      <c r="J53" s="452">
        <v>1800</v>
      </c>
      <c r="K53" s="452"/>
      <c r="L53" s="452"/>
      <c r="M53" s="485" t="str">
        <f>IF(OR(ISBLANK(Y3)),"N/A",IF(AND(J3=Y3,N3*1.5=Y5),"N/A",IF(J3=Y3,ROUND(J45*100,0),ROUND(J44*100,0))&amp;"%額定轉速"&amp;IF(J3=Y3,ROUND(L45*100,0),ROUND(L44*100,0))&amp;"%負載運行時間  ( N sec )"))</f>
        <v>N/A</v>
      </c>
      <c r="N53" s="485"/>
      <c r="O53" s="485"/>
      <c r="P53" s="485"/>
      <c r="Q53" s="452"/>
      <c r="R53" s="452"/>
      <c r="S53" s="452"/>
      <c r="T53" s="486"/>
      <c r="U53" s="486"/>
      <c r="V53" s="486"/>
      <c r="W53" s="486"/>
      <c r="X53" s="486"/>
      <c r="Y53" s="486"/>
      <c r="Z53" s="487"/>
      <c r="AA53" s="266"/>
      <c r="AB53" s="267"/>
      <c r="AC53" s="272"/>
      <c r="AD53" s="273"/>
      <c r="AE53" s="272"/>
      <c r="AF53" s="276"/>
      <c r="AG53" s="273"/>
    </row>
    <row r="54" spans="2:33" ht="22.5" customHeight="1" x14ac:dyDescent="0.4">
      <c r="B54" s="532" t="s">
        <v>212</v>
      </c>
      <c r="C54" s="303">
        <v>12</v>
      </c>
      <c r="D54" s="474" t="str">
        <f>"S3 / S6 反覆使用測試
[ S3 / S6 "&amp;IF(ISBLANK(AC3),"15~60",AC3)&amp;"% 10min. ]
( 以 S6 為主, 若因設備無法達到, 則測 S3 )"</f>
        <v>S3 / S6 反覆使用測試
[ S3 / S6 15% 10min. ]
( 以 S6 為主, 若因設備無法達到, 則測 S3 )</v>
      </c>
      <c r="E54" s="475"/>
      <c r="F54" s="311" t="s">
        <v>395</v>
      </c>
      <c r="G54" s="312"/>
      <c r="H54" s="312"/>
      <c r="I54" s="313"/>
      <c r="J54" s="482" t="s">
        <v>220</v>
      </c>
      <c r="K54" s="444" t="s">
        <v>219</v>
      </c>
      <c r="L54" s="480" t="s">
        <v>202</v>
      </c>
      <c r="M54" s="444" t="s">
        <v>148</v>
      </c>
      <c r="N54" s="444" t="s">
        <v>393</v>
      </c>
      <c r="O54" s="444" t="s">
        <v>394</v>
      </c>
      <c r="P54" s="444" t="s">
        <v>106</v>
      </c>
      <c r="Q54" s="444" t="s">
        <v>236</v>
      </c>
      <c r="R54" s="444" t="s">
        <v>264</v>
      </c>
      <c r="S54" s="444" t="s">
        <v>265</v>
      </c>
      <c r="T54" s="444" t="s">
        <v>266</v>
      </c>
      <c r="U54" s="444" t="s">
        <v>123</v>
      </c>
      <c r="V54" s="258" t="s">
        <v>237</v>
      </c>
      <c r="W54" s="500"/>
      <c r="X54" s="500"/>
      <c r="Y54" s="500"/>
      <c r="Z54" s="500"/>
      <c r="AA54" s="501"/>
      <c r="AB54" s="335"/>
      <c r="AC54" s="435"/>
      <c r="AD54" s="436"/>
      <c r="AE54" s="435"/>
      <c r="AF54" s="441"/>
      <c r="AG54" s="436"/>
    </row>
    <row r="55" spans="2:33" ht="109.9" customHeight="1" thickBot="1" x14ac:dyDescent="0.45">
      <c r="B55" s="533"/>
      <c r="C55" s="304"/>
      <c r="D55" s="476"/>
      <c r="E55" s="477"/>
      <c r="F55" s="314"/>
      <c r="G55" s="315"/>
      <c r="H55" s="315"/>
      <c r="I55" s="316"/>
      <c r="J55" s="484"/>
      <c r="K55" s="468"/>
      <c r="L55" s="524"/>
      <c r="M55" s="468"/>
      <c r="N55" s="468"/>
      <c r="O55" s="468"/>
      <c r="P55" s="468"/>
      <c r="Q55" s="468"/>
      <c r="R55" s="468"/>
      <c r="S55" s="468"/>
      <c r="T55" s="468"/>
      <c r="U55" s="468"/>
      <c r="V55" s="82" t="s">
        <v>153</v>
      </c>
      <c r="W55" s="82" t="s">
        <v>165</v>
      </c>
      <c r="X55" s="231" t="s">
        <v>160</v>
      </c>
      <c r="Y55" s="231" t="s">
        <v>161</v>
      </c>
      <c r="Z55" s="82" t="s">
        <v>154</v>
      </c>
      <c r="AA55" s="83" t="s">
        <v>155</v>
      </c>
      <c r="AB55" s="338"/>
      <c r="AC55" s="437"/>
      <c r="AD55" s="438"/>
      <c r="AE55" s="437"/>
      <c r="AF55" s="442"/>
      <c r="AG55" s="438"/>
    </row>
    <row r="56" spans="2:33" ht="19.899999999999999" customHeight="1" x14ac:dyDescent="0.4">
      <c r="B56" s="533"/>
      <c r="C56" s="304"/>
      <c r="D56" s="476"/>
      <c r="E56" s="477"/>
      <c r="F56" s="314"/>
      <c r="G56" s="315"/>
      <c r="H56" s="315"/>
      <c r="I56" s="316"/>
      <c r="J56" s="219" t="str">
        <f>"(1)"</f>
        <v>(1)</v>
      </c>
      <c r="K56" s="84" t="str">
        <f>IF(J3&gt;AA3,AA3/J3*100%,"60%")</f>
        <v>60%</v>
      </c>
      <c r="L56" s="73">
        <f>K56*$J$3</f>
        <v>900</v>
      </c>
      <c r="M56" s="84">
        <f>IF(ISBLANK(AA3),"≥100%",N56/$N$3)</f>
        <v>2</v>
      </c>
      <c r="N56" s="235">
        <f>AA5</f>
        <v>140</v>
      </c>
      <c r="O56" s="85"/>
      <c r="P56" s="85">
        <v>900</v>
      </c>
      <c r="Q56" s="85">
        <v>140.80000000000001</v>
      </c>
      <c r="R56" s="85">
        <v>67.900000000000006</v>
      </c>
      <c r="S56" s="85">
        <v>67.7</v>
      </c>
      <c r="T56" s="85">
        <v>67.8</v>
      </c>
      <c r="U56" s="85">
        <v>18.100000000000001</v>
      </c>
      <c r="V56" s="86"/>
      <c r="W56" s="86"/>
      <c r="X56" s="86"/>
      <c r="Y56" s="86"/>
      <c r="Z56" s="86"/>
      <c r="AA56" s="87"/>
      <c r="AB56" s="338"/>
      <c r="AC56" s="437"/>
      <c r="AD56" s="438"/>
      <c r="AE56" s="437"/>
      <c r="AF56" s="442"/>
      <c r="AG56" s="438"/>
    </row>
    <row r="57" spans="2:33" ht="19.899999999999999" customHeight="1" x14ac:dyDescent="0.4">
      <c r="B57" s="533"/>
      <c r="C57" s="304"/>
      <c r="D57" s="476"/>
      <c r="E57" s="477"/>
      <c r="F57" s="314"/>
      <c r="G57" s="315"/>
      <c r="H57" s="315"/>
      <c r="I57" s="316"/>
      <c r="J57" s="220" t="str">
        <f>"(2)"</f>
        <v>(2)</v>
      </c>
      <c r="K57" s="84" t="str">
        <f>IF(J3&gt;AA3,AA3/J3*100%,"80%")</f>
        <v>80%</v>
      </c>
      <c r="L57" s="73">
        <f>K57*$J$3</f>
        <v>1200</v>
      </c>
      <c r="M57" s="84">
        <f>IF(ISBLANK(AA3),"≥100%",N57/$N$3)</f>
        <v>2</v>
      </c>
      <c r="N57" s="235">
        <f>AA5</f>
        <v>140</v>
      </c>
      <c r="O57" s="85"/>
      <c r="P57" s="85">
        <v>1201</v>
      </c>
      <c r="Q57" s="85">
        <v>140.6</v>
      </c>
      <c r="R57" s="85">
        <v>66.5</v>
      </c>
      <c r="S57" s="85">
        <v>66.3</v>
      </c>
      <c r="T57" s="85">
        <v>66.400000000000006</v>
      </c>
      <c r="U57" s="85">
        <v>17.7</v>
      </c>
      <c r="V57" s="85"/>
      <c r="W57" s="85"/>
      <c r="X57" s="85"/>
      <c r="Y57" s="85"/>
      <c r="Z57" s="85"/>
      <c r="AA57" s="88"/>
      <c r="AB57" s="338"/>
      <c r="AC57" s="437"/>
      <c r="AD57" s="438"/>
      <c r="AE57" s="437"/>
      <c r="AF57" s="442"/>
      <c r="AG57" s="438"/>
    </row>
    <row r="58" spans="2:33" ht="19.899999999999999" customHeight="1" x14ac:dyDescent="0.4">
      <c r="B58" s="533"/>
      <c r="C58" s="304"/>
      <c r="D58" s="476"/>
      <c r="E58" s="477"/>
      <c r="F58" s="314"/>
      <c r="G58" s="315"/>
      <c r="H58" s="315"/>
      <c r="I58" s="316"/>
      <c r="J58" s="220" t="str">
        <f>"(3)"</f>
        <v>(3)</v>
      </c>
      <c r="K58" s="76">
        <v>1</v>
      </c>
      <c r="L58" s="73">
        <f>K58*$J$3</f>
        <v>1500</v>
      </c>
      <c r="M58" s="84">
        <f>IF(ISBLANK(N58),"≥100%",N58/$N$3)</f>
        <v>2</v>
      </c>
      <c r="N58" s="236">
        <f>IF(J3&gt;AA3,IF(MAX($N$57*$K$57,$N$56*$K$56)=$N$57*$K$57,$N$57*$K$57,$N$56*$K$56)/$K58,AA5)</f>
        <v>140</v>
      </c>
      <c r="O58" s="115">
        <v>15</v>
      </c>
      <c r="P58" s="115">
        <v>1493</v>
      </c>
      <c r="Q58" s="115">
        <v>140.65</v>
      </c>
      <c r="R58" s="115">
        <v>66.900000000000006</v>
      </c>
      <c r="S58" s="115">
        <v>66.8</v>
      </c>
      <c r="T58" s="115">
        <v>66.599999999999994</v>
      </c>
      <c r="U58" s="115">
        <v>21.9</v>
      </c>
      <c r="V58" s="115">
        <v>32.200000000000003</v>
      </c>
      <c r="W58" s="115">
        <v>81.900000000000006</v>
      </c>
      <c r="X58" s="115">
        <v>43.4</v>
      </c>
      <c r="Y58" s="115">
        <v>43.8</v>
      </c>
      <c r="Z58" s="115">
        <v>41.8</v>
      </c>
      <c r="AA58" s="115">
        <v>36.200000000000003</v>
      </c>
      <c r="AB58" s="338"/>
      <c r="AC58" s="437"/>
      <c r="AD58" s="438"/>
      <c r="AE58" s="437"/>
      <c r="AF58" s="442"/>
      <c r="AG58" s="438"/>
    </row>
    <row r="59" spans="2:33" ht="19.899999999999999" customHeight="1" x14ac:dyDescent="0.4">
      <c r="B59" s="533"/>
      <c r="C59" s="304"/>
      <c r="D59" s="476"/>
      <c r="E59" s="477"/>
      <c r="F59" s="314"/>
      <c r="G59" s="315"/>
      <c r="H59" s="315"/>
      <c r="I59" s="316"/>
      <c r="J59" s="220" t="str">
        <f>"(4)"</f>
        <v>(4)</v>
      </c>
      <c r="K59" s="76">
        <f t="shared" ref="K59:K64" si="6">K58+50%</f>
        <v>1.5</v>
      </c>
      <c r="L59" s="73">
        <f t="shared" ref="L59:L64" si="7">K59*$J$3</f>
        <v>2250</v>
      </c>
      <c r="M59" s="76">
        <f>N59/$N$3</f>
        <v>1.3333333333333333</v>
      </c>
      <c r="N59" s="115">
        <f t="shared" ref="N59:N64" si="8">IF(MAX($N$58*$K$58,$N$57*$K$57,$N$56*$K$56)=$N$58*$K$58,$K$58*$N$58,IF(MAX($N$58*$K$58,$N$57*$K$57,$N$56*$K$56)=$N$57*$K$57,$K$57*$K$57,$K$56*$N$56))/$K59</f>
        <v>93.333333333333329</v>
      </c>
      <c r="O59" s="85"/>
      <c r="P59" s="49"/>
      <c r="Q59" s="49"/>
      <c r="R59" s="49"/>
      <c r="S59" s="49"/>
      <c r="T59" s="49"/>
      <c r="U59" s="49"/>
      <c r="V59" s="85"/>
      <c r="W59" s="85"/>
      <c r="X59" s="85"/>
      <c r="Y59" s="85"/>
      <c r="Z59" s="85"/>
      <c r="AA59" s="88"/>
      <c r="AB59" s="338"/>
      <c r="AC59" s="437"/>
      <c r="AD59" s="438"/>
      <c r="AE59" s="437"/>
      <c r="AF59" s="442"/>
      <c r="AG59" s="438"/>
    </row>
    <row r="60" spans="2:33" ht="19.899999999999999" customHeight="1" x14ac:dyDescent="0.4">
      <c r="B60" s="533"/>
      <c r="C60" s="304"/>
      <c r="D60" s="476"/>
      <c r="E60" s="477"/>
      <c r="F60" s="314"/>
      <c r="G60" s="315"/>
      <c r="H60" s="315"/>
      <c r="I60" s="316"/>
      <c r="J60" s="220" t="str">
        <f>"(5)"</f>
        <v>(5)</v>
      </c>
      <c r="K60" s="76">
        <f t="shared" si="6"/>
        <v>2</v>
      </c>
      <c r="L60" s="73">
        <f t="shared" si="7"/>
        <v>3000</v>
      </c>
      <c r="M60" s="76">
        <f t="shared" ref="M60:M65" si="9">N60/$N$3</f>
        <v>1</v>
      </c>
      <c r="N60" s="115">
        <f t="shared" si="8"/>
        <v>70</v>
      </c>
      <c r="O60" s="85"/>
      <c r="P60" s="49"/>
      <c r="Q60" s="49"/>
      <c r="R60" s="49"/>
      <c r="S60" s="49"/>
      <c r="T60" s="49"/>
      <c r="U60" s="49"/>
      <c r="V60" s="85"/>
      <c r="W60" s="85"/>
      <c r="X60" s="85"/>
      <c r="Y60" s="85"/>
      <c r="Z60" s="85"/>
      <c r="AA60" s="88"/>
      <c r="AB60" s="338"/>
      <c r="AC60" s="437"/>
      <c r="AD60" s="438"/>
      <c r="AE60" s="437"/>
      <c r="AF60" s="442"/>
      <c r="AG60" s="438"/>
    </row>
    <row r="61" spans="2:33" ht="19.899999999999999" customHeight="1" x14ac:dyDescent="0.4">
      <c r="B61" s="533"/>
      <c r="C61" s="304"/>
      <c r="D61" s="476"/>
      <c r="E61" s="477"/>
      <c r="F61" s="314"/>
      <c r="G61" s="315"/>
      <c r="H61" s="315"/>
      <c r="I61" s="316"/>
      <c r="J61" s="220" t="str">
        <f>"(6)"</f>
        <v>(6)</v>
      </c>
      <c r="K61" s="76">
        <f t="shared" si="6"/>
        <v>2.5</v>
      </c>
      <c r="L61" s="73">
        <f t="shared" si="7"/>
        <v>3750</v>
      </c>
      <c r="M61" s="76">
        <f t="shared" si="9"/>
        <v>0.8</v>
      </c>
      <c r="N61" s="115">
        <f t="shared" si="8"/>
        <v>56</v>
      </c>
      <c r="O61" s="85"/>
      <c r="P61" s="49"/>
      <c r="Q61" s="49"/>
      <c r="R61" s="49"/>
      <c r="S61" s="49"/>
      <c r="T61" s="49"/>
      <c r="U61" s="49"/>
      <c r="V61" s="85"/>
      <c r="W61" s="85"/>
      <c r="X61" s="85"/>
      <c r="Y61" s="85"/>
      <c r="Z61" s="85"/>
      <c r="AA61" s="88"/>
      <c r="AB61" s="338"/>
      <c r="AC61" s="437"/>
      <c r="AD61" s="438"/>
      <c r="AE61" s="437"/>
      <c r="AF61" s="442"/>
      <c r="AG61" s="438"/>
    </row>
    <row r="62" spans="2:33" ht="19.899999999999999" customHeight="1" x14ac:dyDescent="0.4">
      <c r="B62" s="533"/>
      <c r="C62" s="304"/>
      <c r="D62" s="476"/>
      <c r="E62" s="477"/>
      <c r="F62" s="314"/>
      <c r="G62" s="315"/>
      <c r="H62" s="315"/>
      <c r="I62" s="316"/>
      <c r="J62" s="220" t="str">
        <f>"(7)"</f>
        <v>(7)</v>
      </c>
      <c r="K62" s="76">
        <f t="shared" si="6"/>
        <v>3</v>
      </c>
      <c r="L62" s="73">
        <f t="shared" si="7"/>
        <v>4500</v>
      </c>
      <c r="M62" s="76">
        <f t="shared" si="9"/>
        <v>0.66666666666666663</v>
      </c>
      <c r="N62" s="115">
        <f t="shared" si="8"/>
        <v>46.666666666666664</v>
      </c>
      <c r="O62" s="85"/>
      <c r="P62" s="49"/>
      <c r="Q62" s="49"/>
      <c r="R62" s="49"/>
      <c r="S62" s="49"/>
      <c r="T62" s="49"/>
      <c r="U62" s="49"/>
      <c r="V62" s="85"/>
      <c r="W62" s="85"/>
      <c r="X62" s="85"/>
      <c r="Y62" s="85"/>
      <c r="Z62" s="85"/>
      <c r="AA62" s="88"/>
      <c r="AB62" s="338"/>
      <c r="AC62" s="437"/>
      <c r="AD62" s="438"/>
      <c r="AE62" s="437"/>
      <c r="AF62" s="442"/>
      <c r="AG62" s="438"/>
    </row>
    <row r="63" spans="2:33" ht="19.899999999999999" customHeight="1" x14ac:dyDescent="0.4">
      <c r="B63" s="533"/>
      <c r="C63" s="304"/>
      <c r="D63" s="476"/>
      <c r="E63" s="477"/>
      <c r="F63" s="314"/>
      <c r="G63" s="315"/>
      <c r="H63" s="315"/>
      <c r="I63" s="316"/>
      <c r="J63" s="220" t="str">
        <f>"(8)"</f>
        <v>(8)</v>
      </c>
      <c r="K63" s="76">
        <f t="shared" si="6"/>
        <v>3.5</v>
      </c>
      <c r="L63" s="73">
        <f t="shared" si="7"/>
        <v>5250</v>
      </c>
      <c r="M63" s="76">
        <f t="shared" si="9"/>
        <v>0.5714285714285714</v>
      </c>
      <c r="N63" s="115">
        <f t="shared" si="8"/>
        <v>40</v>
      </c>
      <c r="O63" s="85"/>
      <c r="P63" s="49"/>
      <c r="Q63" s="49"/>
      <c r="R63" s="49"/>
      <c r="S63" s="49"/>
      <c r="T63" s="49"/>
      <c r="U63" s="49"/>
      <c r="V63" s="85"/>
      <c r="W63" s="85"/>
      <c r="X63" s="85"/>
      <c r="Y63" s="85"/>
      <c r="Z63" s="85"/>
      <c r="AA63" s="88"/>
      <c r="AB63" s="338"/>
      <c r="AC63" s="437"/>
      <c r="AD63" s="438"/>
      <c r="AE63" s="437"/>
      <c r="AF63" s="442"/>
      <c r="AG63" s="438"/>
    </row>
    <row r="64" spans="2:33" ht="19.899999999999999" customHeight="1" x14ac:dyDescent="0.4">
      <c r="B64" s="533"/>
      <c r="C64" s="304"/>
      <c r="D64" s="476"/>
      <c r="E64" s="477"/>
      <c r="F64" s="314"/>
      <c r="G64" s="315"/>
      <c r="H64" s="315"/>
      <c r="I64" s="316"/>
      <c r="J64" s="221" t="str">
        <f>"(9)"</f>
        <v>(9)</v>
      </c>
      <c r="K64" s="76">
        <f t="shared" si="6"/>
        <v>4</v>
      </c>
      <c r="L64" s="73">
        <f t="shared" si="7"/>
        <v>6000</v>
      </c>
      <c r="M64" s="76">
        <f t="shared" si="9"/>
        <v>0.5</v>
      </c>
      <c r="N64" s="115">
        <f t="shared" si="8"/>
        <v>35</v>
      </c>
      <c r="O64" s="85"/>
      <c r="P64" s="49"/>
      <c r="Q64" s="49"/>
      <c r="R64" s="49"/>
      <c r="S64" s="49"/>
      <c r="T64" s="49"/>
      <c r="U64" s="49"/>
      <c r="V64" s="85"/>
      <c r="W64" s="85"/>
      <c r="X64" s="85"/>
      <c r="Y64" s="85"/>
      <c r="Z64" s="85"/>
      <c r="AA64" s="88"/>
      <c r="AB64" s="338"/>
      <c r="AC64" s="437"/>
      <c r="AD64" s="438"/>
      <c r="AE64" s="437"/>
      <c r="AF64" s="442"/>
      <c r="AG64" s="438"/>
    </row>
    <row r="65" spans="2:33" ht="19.899999999999999" customHeight="1" x14ac:dyDescent="0.4">
      <c r="B65" s="533"/>
      <c r="C65" s="304"/>
      <c r="D65" s="476"/>
      <c r="E65" s="477"/>
      <c r="F65" s="457"/>
      <c r="G65" s="458"/>
      <c r="H65" s="458"/>
      <c r="I65" s="459"/>
      <c r="J65" s="220" t="str">
        <f>"(10)"</f>
        <v>(10)</v>
      </c>
      <c r="K65" s="218" t="s">
        <v>216</v>
      </c>
      <c r="L65" s="73">
        <f>H5</f>
        <v>8000</v>
      </c>
      <c r="M65" s="232">
        <f t="shared" si="9"/>
        <v>0.375</v>
      </c>
      <c r="N65" s="233">
        <f>IF(MAX($N$58*$K$58,$N$57*$K$57,$N$56*$K$56)=$N$58*$K$58,$K$58*$N$58,IF(MAX($N$58*$K$58,$N$57*$K$57,$N$56*$K$56)=$N$57*$K$57,$K$57*$K$57,$K$56*$N$56))/(L65/J3)</f>
        <v>26.25</v>
      </c>
      <c r="O65" s="89"/>
      <c r="P65" s="79"/>
      <c r="Q65" s="79"/>
      <c r="R65" s="79"/>
      <c r="S65" s="79"/>
      <c r="T65" s="79"/>
      <c r="U65" s="79"/>
      <c r="V65" s="89"/>
      <c r="W65" s="89"/>
      <c r="X65" s="89"/>
      <c r="Y65" s="89"/>
      <c r="Z65" s="89"/>
      <c r="AA65" s="234"/>
      <c r="AB65" s="338"/>
      <c r="AC65" s="437"/>
      <c r="AD65" s="438"/>
      <c r="AE65" s="437"/>
      <c r="AF65" s="442"/>
      <c r="AG65" s="438"/>
    </row>
    <row r="66" spans="2:33" ht="18.75" customHeight="1" x14ac:dyDescent="0.4">
      <c r="B66" s="533"/>
      <c r="C66" s="304"/>
      <c r="D66" s="476"/>
      <c r="E66" s="477"/>
      <c r="F66" s="356" t="s">
        <v>217</v>
      </c>
      <c r="G66" s="453"/>
      <c r="H66" s="453"/>
      <c r="I66" s="541"/>
      <c r="J66" s="460" t="s">
        <v>413</v>
      </c>
      <c r="K66" s="461"/>
      <c r="L66" s="461"/>
      <c r="M66" s="462" t="s">
        <v>385</v>
      </c>
      <c r="N66" s="463"/>
      <c r="O66" s="466">
        <f>IF(ISBLANK(O58),"15~60",ROUND(AVERAGE(O56:O65),0))</f>
        <v>15</v>
      </c>
      <c r="P66" s="514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  <c r="AB66" s="338"/>
      <c r="AC66" s="437"/>
      <c r="AD66" s="438"/>
      <c r="AE66" s="437"/>
      <c r="AF66" s="442"/>
      <c r="AG66" s="438"/>
    </row>
    <row r="67" spans="2:33" ht="23.25" customHeight="1" thickBot="1" x14ac:dyDescent="0.45">
      <c r="B67" s="534"/>
      <c r="C67" s="421"/>
      <c r="D67" s="478"/>
      <c r="E67" s="479"/>
      <c r="F67" s="454" t="s">
        <v>238</v>
      </c>
      <c r="G67" s="455"/>
      <c r="H67" s="455"/>
      <c r="I67" s="456"/>
      <c r="J67" s="469">
        <f>J5/N3</f>
        <v>2</v>
      </c>
      <c r="K67" s="470"/>
      <c r="L67" s="470"/>
      <c r="M67" s="464"/>
      <c r="N67" s="465"/>
      <c r="O67" s="467"/>
      <c r="P67" s="517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9"/>
      <c r="AB67" s="341"/>
      <c r="AC67" s="439"/>
      <c r="AD67" s="440"/>
      <c r="AE67" s="439"/>
      <c r="AF67" s="443"/>
      <c r="AG67" s="440"/>
    </row>
    <row r="68" spans="2:33" x14ac:dyDescent="0.4">
      <c r="B68" s="306" t="s">
        <v>56</v>
      </c>
      <c r="C68" s="304">
        <v>13</v>
      </c>
      <c r="D68" s="323" t="s">
        <v>126</v>
      </c>
      <c r="E68" s="324"/>
      <c r="F68" s="314" t="s">
        <v>235</v>
      </c>
      <c r="G68" s="315"/>
      <c r="H68" s="315"/>
      <c r="I68" s="316"/>
      <c r="J68" s="522" t="s">
        <v>58</v>
      </c>
      <c r="K68" s="270" t="s">
        <v>59</v>
      </c>
      <c r="L68" s="275"/>
      <c r="M68" s="275"/>
      <c r="N68" s="275"/>
      <c r="O68" s="324"/>
      <c r="P68" s="323" t="s">
        <v>128</v>
      </c>
      <c r="Q68" s="324"/>
      <c r="R68" s="323" t="s">
        <v>129</v>
      </c>
      <c r="S68" s="324"/>
      <c r="T68" s="323" t="s">
        <v>127</v>
      </c>
      <c r="U68" s="271"/>
      <c r="V68" s="336"/>
      <c r="W68" s="337"/>
      <c r="X68" s="337"/>
      <c r="Y68" s="337"/>
      <c r="Z68" s="337"/>
      <c r="AA68" s="337"/>
      <c r="AB68" s="338"/>
      <c r="AC68" s="268"/>
      <c r="AD68" s="269"/>
      <c r="AE68" s="268"/>
      <c r="AF68" s="274"/>
      <c r="AG68" s="269"/>
    </row>
    <row r="69" spans="2:33" x14ac:dyDescent="0.4">
      <c r="B69" s="306"/>
      <c r="C69" s="304"/>
      <c r="D69" s="323"/>
      <c r="E69" s="324"/>
      <c r="F69" s="314"/>
      <c r="G69" s="315"/>
      <c r="H69" s="315"/>
      <c r="I69" s="316"/>
      <c r="J69" s="523"/>
      <c r="K69" s="331"/>
      <c r="L69" s="332"/>
      <c r="M69" s="332"/>
      <c r="N69" s="332"/>
      <c r="O69" s="326"/>
      <c r="P69" s="325"/>
      <c r="Q69" s="326"/>
      <c r="R69" s="325"/>
      <c r="S69" s="326"/>
      <c r="T69" s="325"/>
      <c r="U69" s="525"/>
      <c r="V69" s="336"/>
      <c r="W69" s="337"/>
      <c r="X69" s="337"/>
      <c r="Y69" s="337"/>
      <c r="Z69" s="337"/>
      <c r="AA69" s="337"/>
      <c r="AB69" s="338"/>
      <c r="AC69" s="270"/>
      <c r="AD69" s="271"/>
      <c r="AE69" s="270"/>
      <c r="AF69" s="275"/>
      <c r="AG69" s="271"/>
    </row>
    <row r="70" spans="2:33" x14ac:dyDescent="0.4">
      <c r="B70" s="306"/>
      <c r="C70" s="304"/>
      <c r="D70" s="323"/>
      <c r="E70" s="324"/>
      <c r="F70" s="314"/>
      <c r="G70" s="315"/>
      <c r="H70" s="315"/>
      <c r="I70" s="316"/>
      <c r="J70" s="90" t="s">
        <v>60</v>
      </c>
      <c r="K70" s="450" t="s">
        <v>61</v>
      </c>
      <c r="L70" s="451"/>
      <c r="M70" s="356" t="s">
        <v>62</v>
      </c>
      <c r="N70" s="453"/>
      <c r="O70" s="451"/>
      <c r="P70" s="116">
        <v>0.13500000000000001</v>
      </c>
      <c r="Q70" s="52" t="s">
        <v>63</v>
      </c>
      <c r="R70" s="113">
        <v>0.13500000000000001</v>
      </c>
      <c r="S70" s="53" t="s">
        <v>63</v>
      </c>
      <c r="T70" s="329">
        <f>(R70-P70)/P70</f>
        <v>0</v>
      </c>
      <c r="U70" s="330"/>
      <c r="V70" s="336"/>
      <c r="W70" s="337"/>
      <c r="X70" s="337"/>
      <c r="Y70" s="337"/>
      <c r="Z70" s="337"/>
      <c r="AA70" s="337"/>
      <c r="AB70" s="338"/>
      <c r="AC70" s="270"/>
      <c r="AD70" s="271"/>
      <c r="AE70" s="270"/>
      <c r="AF70" s="275"/>
      <c r="AG70" s="271"/>
    </row>
    <row r="71" spans="2:33" x14ac:dyDescent="0.4">
      <c r="B71" s="306"/>
      <c r="C71" s="304"/>
      <c r="D71" s="323"/>
      <c r="E71" s="324"/>
      <c r="F71" s="314"/>
      <c r="G71" s="315"/>
      <c r="H71" s="315"/>
      <c r="I71" s="316"/>
      <c r="J71" s="90" t="s">
        <v>64</v>
      </c>
      <c r="K71" s="450" t="s">
        <v>250</v>
      </c>
      <c r="L71" s="451"/>
      <c r="M71" s="356" t="s">
        <v>65</v>
      </c>
      <c r="N71" s="453"/>
      <c r="O71" s="451"/>
      <c r="P71" s="116">
        <v>0.16930000000000001</v>
      </c>
      <c r="Q71" s="52" t="s">
        <v>63</v>
      </c>
      <c r="R71" s="113">
        <v>0.16930000000000001</v>
      </c>
      <c r="S71" s="53" t="s">
        <v>63</v>
      </c>
      <c r="T71" s="329">
        <f>(R71-P71)/P71</f>
        <v>0</v>
      </c>
      <c r="U71" s="330"/>
      <c r="V71" s="336"/>
      <c r="W71" s="337"/>
      <c r="X71" s="337"/>
      <c r="Y71" s="337"/>
      <c r="Z71" s="337"/>
      <c r="AA71" s="337"/>
      <c r="AB71" s="338"/>
      <c r="AC71" s="270"/>
      <c r="AD71" s="271"/>
      <c r="AE71" s="270"/>
      <c r="AF71" s="275"/>
      <c r="AG71" s="271"/>
    </row>
    <row r="72" spans="2:33" x14ac:dyDescent="0.4">
      <c r="B72" s="306"/>
      <c r="C72" s="304"/>
      <c r="D72" s="323"/>
      <c r="E72" s="324"/>
      <c r="F72" s="314"/>
      <c r="G72" s="315"/>
      <c r="H72" s="315"/>
      <c r="I72" s="316"/>
      <c r="J72" s="90" t="s">
        <v>66</v>
      </c>
      <c r="K72" s="450" t="s">
        <v>67</v>
      </c>
      <c r="L72" s="451"/>
      <c r="M72" s="356" t="s">
        <v>68</v>
      </c>
      <c r="N72" s="453"/>
      <c r="O72" s="451"/>
      <c r="P72" s="116">
        <v>0.34060000000000001</v>
      </c>
      <c r="Q72" s="52" t="s">
        <v>63</v>
      </c>
      <c r="R72" s="113">
        <v>0.34060000000000001</v>
      </c>
      <c r="S72" s="52" t="s">
        <v>63</v>
      </c>
      <c r="T72" s="329">
        <f>(R72-P72)/P72</f>
        <v>0</v>
      </c>
      <c r="U72" s="330"/>
      <c r="V72" s="336"/>
      <c r="W72" s="337"/>
      <c r="X72" s="337"/>
      <c r="Y72" s="337"/>
      <c r="Z72" s="337"/>
      <c r="AA72" s="337"/>
      <c r="AB72" s="338"/>
      <c r="AC72" s="270"/>
      <c r="AD72" s="271"/>
      <c r="AE72" s="270"/>
      <c r="AF72" s="275"/>
      <c r="AG72" s="271"/>
    </row>
    <row r="73" spans="2:33" x14ac:dyDescent="0.4">
      <c r="B73" s="306"/>
      <c r="C73" s="304"/>
      <c r="D73" s="323"/>
      <c r="E73" s="324"/>
      <c r="F73" s="314"/>
      <c r="G73" s="315"/>
      <c r="H73" s="315"/>
      <c r="I73" s="316"/>
      <c r="J73" s="90" t="s">
        <v>69</v>
      </c>
      <c r="K73" s="450" t="s">
        <v>70</v>
      </c>
      <c r="L73" s="451"/>
      <c r="M73" s="356" t="s">
        <v>71</v>
      </c>
      <c r="N73" s="453"/>
      <c r="O73" s="451"/>
      <c r="P73" s="116">
        <v>0.34060000000000001</v>
      </c>
      <c r="Q73" s="52" t="s">
        <v>63</v>
      </c>
      <c r="R73" s="113">
        <v>0.34060000000000001</v>
      </c>
      <c r="S73" s="52" t="s">
        <v>63</v>
      </c>
      <c r="T73" s="329">
        <f>(R73-P73)/P73</f>
        <v>0</v>
      </c>
      <c r="U73" s="330"/>
      <c r="V73" s="336"/>
      <c r="W73" s="337"/>
      <c r="X73" s="337"/>
      <c r="Y73" s="337"/>
      <c r="Z73" s="337"/>
      <c r="AA73" s="337"/>
      <c r="AB73" s="338"/>
      <c r="AC73" s="270"/>
      <c r="AD73" s="271"/>
      <c r="AE73" s="270"/>
      <c r="AF73" s="275"/>
      <c r="AG73" s="271"/>
    </row>
    <row r="74" spans="2:33" ht="18" customHeight="1" thickBot="1" x14ac:dyDescent="0.45">
      <c r="B74" s="530"/>
      <c r="C74" s="421"/>
      <c r="D74" s="529"/>
      <c r="E74" s="427"/>
      <c r="F74" s="527"/>
      <c r="G74" s="528"/>
      <c r="H74" s="528"/>
      <c r="I74" s="531"/>
      <c r="J74" s="90" t="s">
        <v>141</v>
      </c>
      <c r="K74" s="520" t="s">
        <v>72</v>
      </c>
      <c r="L74" s="521"/>
      <c r="M74" s="454" t="s">
        <v>73</v>
      </c>
      <c r="N74" s="455"/>
      <c r="O74" s="521"/>
      <c r="P74" s="117">
        <v>10.000999999999999</v>
      </c>
      <c r="Q74" s="91" t="s">
        <v>63</v>
      </c>
      <c r="R74" s="118">
        <v>10.000999999999999</v>
      </c>
      <c r="S74" s="91" t="s">
        <v>63</v>
      </c>
      <c r="T74" s="448">
        <f>(R74-P74)/P74</f>
        <v>0</v>
      </c>
      <c r="U74" s="449"/>
      <c r="V74" s="339"/>
      <c r="W74" s="340"/>
      <c r="X74" s="340"/>
      <c r="Y74" s="340"/>
      <c r="Z74" s="340"/>
      <c r="AA74" s="340"/>
      <c r="AB74" s="341"/>
      <c r="AC74" s="272"/>
      <c r="AD74" s="273"/>
      <c r="AE74" s="272"/>
      <c r="AF74" s="276"/>
      <c r="AG74" s="273"/>
    </row>
    <row r="75" spans="2:33" x14ac:dyDescent="0.4">
      <c r="B75" s="305" t="s">
        <v>181</v>
      </c>
      <c r="C75" s="303">
        <v>14</v>
      </c>
      <c r="D75" s="446" t="s">
        <v>182</v>
      </c>
      <c r="E75" s="447"/>
      <c r="F75" s="311" t="s">
        <v>206</v>
      </c>
      <c r="G75" s="312"/>
      <c r="H75" s="312"/>
      <c r="I75" s="312"/>
      <c r="J75" s="92" t="s">
        <v>183</v>
      </c>
      <c r="K75" s="93" t="s">
        <v>186</v>
      </c>
      <c r="L75" s="94" t="s">
        <v>184</v>
      </c>
      <c r="M75" s="94" t="s">
        <v>185</v>
      </c>
      <c r="N75" s="95" t="s">
        <v>193</v>
      </c>
      <c r="O75" s="333"/>
      <c r="P75" s="334"/>
      <c r="Q75" s="334"/>
      <c r="R75" s="334"/>
      <c r="S75" s="334"/>
      <c r="T75" s="334"/>
      <c r="U75" s="334"/>
      <c r="V75" s="334"/>
      <c r="W75" s="334"/>
      <c r="X75" s="334"/>
      <c r="Y75" s="334"/>
      <c r="Z75" s="334"/>
      <c r="AA75" s="334"/>
      <c r="AB75" s="335"/>
      <c r="AC75" s="274"/>
      <c r="AD75" s="269"/>
      <c r="AE75" s="268"/>
      <c r="AF75" s="274"/>
      <c r="AG75" s="269"/>
    </row>
    <row r="76" spans="2:33" x14ac:dyDescent="0.4">
      <c r="B76" s="306"/>
      <c r="C76" s="304"/>
      <c r="D76" s="323"/>
      <c r="E76" s="324"/>
      <c r="F76" s="314"/>
      <c r="G76" s="315"/>
      <c r="H76" s="315"/>
      <c r="I76" s="315"/>
      <c r="J76" s="96" t="s">
        <v>191</v>
      </c>
      <c r="K76" s="97">
        <f>P3</f>
        <v>32.299999999999997</v>
      </c>
      <c r="L76" s="71">
        <f>SUM(T34:V34)/3</f>
        <v>32.200000000000003</v>
      </c>
      <c r="M76" s="71" t="s">
        <v>190</v>
      </c>
      <c r="N76" s="98">
        <f>(L76-K76)/K76</f>
        <v>-3.0959752321979665E-3</v>
      </c>
      <c r="O76" s="336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8"/>
      <c r="AC76" s="275"/>
      <c r="AD76" s="271"/>
      <c r="AE76" s="270"/>
      <c r="AF76" s="275"/>
      <c r="AG76" s="271"/>
    </row>
    <row r="77" spans="2:33" x14ac:dyDescent="0.4">
      <c r="B77" s="306"/>
      <c r="C77" s="304"/>
      <c r="D77" s="323"/>
      <c r="E77" s="324"/>
      <c r="F77" s="314"/>
      <c r="G77" s="315"/>
      <c r="H77" s="315"/>
      <c r="I77" s="315"/>
      <c r="J77" s="96" t="s">
        <v>179</v>
      </c>
      <c r="K77" s="97">
        <f>120*R3/P5</f>
        <v>1545</v>
      </c>
      <c r="L77" s="71">
        <f>O34*120/P5</f>
        <v>1539</v>
      </c>
      <c r="M77" s="71" t="s">
        <v>187</v>
      </c>
      <c r="N77" s="98">
        <f>(L77-K77)/K77</f>
        <v>-3.8834951456310678E-3</v>
      </c>
      <c r="O77" s="336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  <c r="AB77" s="338"/>
      <c r="AC77" s="275"/>
      <c r="AD77" s="271"/>
      <c r="AE77" s="270"/>
      <c r="AF77" s="275"/>
      <c r="AG77" s="271"/>
    </row>
    <row r="78" spans="2:33" x14ac:dyDescent="0.4">
      <c r="B78" s="306"/>
      <c r="C78" s="304"/>
      <c r="D78" s="323"/>
      <c r="E78" s="324"/>
      <c r="F78" s="314"/>
      <c r="G78" s="315"/>
      <c r="H78" s="315"/>
      <c r="I78" s="315"/>
      <c r="J78" s="96" t="s">
        <v>180</v>
      </c>
      <c r="K78" s="97">
        <f>J3</f>
        <v>1500</v>
      </c>
      <c r="L78" s="71">
        <f>N34</f>
        <v>1502</v>
      </c>
      <c r="M78" s="71" t="s">
        <v>187</v>
      </c>
      <c r="N78" s="98">
        <f>(L78-K78)/K78</f>
        <v>1.3333333333333333E-3</v>
      </c>
      <c r="O78" s="336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8"/>
      <c r="AC78" s="275"/>
      <c r="AD78" s="271"/>
      <c r="AE78" s="270"/>
      <c r="AF78" s="275"/>
      <c r="AG78" s="271"/>
    </row>
    <row r="79" spans="2:33" ht="17.5" thickBot="1" x14ac:dyDescent="0.45">
      <c r="B79" s="306"/>
      <c r="C79" s="304"/>
      <c r="D79" s="323"/>
      <c r="E79" s="324"/>
      <c r="F79" s="314"/>
      <c r="G79" s="315"/>
      <c r="H79" s="315"/>
      <c r="I79" s="315"/>
      <c r="J79" s="99" t="s">
        <v>177</v>
      </c>
      <c r="K79" s="100">
        <f>(K77-K78)/K77*100</f>
        <v>2.912621359223301</v>
      </c>
      <c r="L79" s="101">
        <f>(L77-L78)/L77*100</f>
        <v>2.4041585445094213</v>
      </c>
      <c r="M79" s="102" t="s">
        <v>178</v>
      </c>
      <c r="N79" s="103">
        <f>(L79-K79)/K79</f>
        <v>-0.17457223305176534</v>
      </c>
      <c r="O79" s="339"/>
      <c r="P79" s="340"/>
      <c r="Q79" s="340"/>
      <c r="R79" s="340"/>
      <c r="S79" s="340"/>
      <c r="T79" s="340"/>
      <c r="U79" s="340"/>
      <c r="V79" s="340"/>
      <c r="W79" s="340"/>
      <c r="X79" s="340"/>
      <c r="Y79" s="340"/>
      <c r="Z79" s="340"/>
      <c r="AA79" s="340"/>
      <c r="AB79" s="341"/>
      <c r="AC79" s="276"/>
      <c r="AD79" s="273"/>
      <c r="AE79" s="272"/>
      <c r="AF79" s="276"/>
      <c r="AG79" s="273"/>
    </row>
    <row r="80" spans="2:33" x14ac:dyDescent="0.4">
      <c r="B80" s="305" t="s">
        <v>181</v>
      </c>
      <c r="C80" s="447">
        <v>15</v>
      </c>
      <c r="D80" s="446" t="s">
        <v>189</v>
      </c>
      <c r="E80" s="447"/>
      <c r="F80" s="311" t="s">
        <v>188</v>
      </c>
      <c r="G80" s="312"/>
      <c r="H80" s="312"/>
      <c r="I80" s="313"/>
      <c r="J80" s="93" t="s">
        <v>183</v>
      </c>
      <c r="K80" s="94" t="s">
        <v>186</v>
      </c>
      <c r="L80" s="94" t="s">
        <v>184</v>
      </c>
      <c r="M80" s="94" t="s">
        <v>185</v>
      </c>
      <c r="N80" s="95" t="s">
        <v>193</v>
      </c>
      <c r="O80" s="333"/>
      <c r="P80" s="334"/>
      <c r="Q80" s="334"/>
      <c r="R80" s="334"/>
      <c r="S80" s="334"/>
      <c r="T80" s="334"/>
      <c r="U80" s="334"/>
      <c r="V80" s="334"/>
      <c r="W80" s="334"/>
      <c r="X80" s="334"/>
      <c r="Y80" s="334"/>
      <c r="Z80" s="334"/>
      <c r="AA80" s="334"/>
      <c r="AB80" s="335"/>
      <c r="AC80" s="274"/>
      <c r="AD80" s="269"/>
      <c r="AE80" s="268"/>
      <c r="AF80" s="274"/>
      <c r="AG80" s="269"/>
    </row>
    <row r="81" spans="2:33" ht="19.149999999999999" customHeight="1" thickBot="1" x14ac:dyDescent="0.45">
      <c r="B81" s="306"/>
      <c r="C81" s="324"/>
      <c r="D81" s="323"/>
      <c r="E81" s="324"/>
      <c r="F81" s="314"/>
      <c r="G81" s="315"/>
      <c r="H81" s="315"/>
      <c r="I81" s="316"/>
      <c r="J81" s="104" t="s">
        <v>192</v>
      </c>
      <c r="K81" s="105">
        <f>N5</f>
        <v>14.35</v>
      </c>
      <c r="L81" s="106">
        <v>14.35</v>
      </c>
      <c r="M81" s="105" t="s">
        <v>190</v>
      </c>
      <c r="N81" s="107">
        <f>(L81-K81)/K81</f>
        <v>0</v>
      </c>
      <c r="O81" s="336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  <c r="AA81" s="337"/>
      <c r="AB81" s="338"/>
      <c r="AC81" s="275"/>
      <c r="AD81" s="271"/>
      <c r="AE81" s="270"/>
      <c r="AF81" s="275"/>
      <c r="AG81" s="271"/>
    </row>
    <row r="82" spans="2:33" ht="97.9" customHeight="1" x14ac:dyDescent="0.4">
      <c r="B82" s="406" t="s">
        <v>357</v>
      </c>
      <c r="C82" s="257">
        <v>16</v>
      </c>
      <c r="D82" s="446" t="s">
        <v>372</v>
      </c>
      <c r="E82" s="447"/>
      <c r="F82" s="311" t="s">
        <v>388</v>
      </c>
      <c r="G82" s="312"/>
      <c r="H82" s="312"/>
      <c r="I82" s="312"/>
      <c r="J82" s="512" t="s">
        <v>387</v>
      </c>
      <c r="K82" s="327" t="s">
        <v>374</v>
      </c>
      <c r="L82" s="327" t="s">
        <v>202</v>
      </c>
      <c r="M82" s="327" t="s">
        <v>148</v>
      </c>
      <c r="N82" s="327" t="s">
        <v>215</v>
      </c>
      <c r="O82" s="327" t="s">
        <v>106</v>
      </c>
      <c r="P82" s="257" t="s">
        <v>204</v>
      </c>
      <c r="Q82" s="327" t="s">
        <v>108</v>
      </c>
      <c r="R82" s="327" t="s">
        <v>261</v>
      </c>
      <c r="S82" s="327" t="s">
        <v>262</v>
      </c>
      <c r="T82" s="327" t="s">
        <v>263</v>
      </c>
      <c r="U82" s="327" t="s">
        <v>264</v>
      </c>
      <c r="V82" s="327" t="s">
        <v>265</v>
      </c>
      <c r="W82" s="327" t="s">
        <v>266</v>
      </c>
      <c r="X82" s="327" t="s">
        <v>122</v>
      </c>
      <c r="Y82" s="327" t="s">
        <v>123</v>
      </c>
      <c r="Z82" s="492" t="s">
        <v>57</v>
      </c>
      <c r="AA82" s="327" t="s">
        <v>107</v>
      </c>
      <c r="AB82" s="373" t="s">
        <v>391</v>
      </c>
      <c r="AC82" s="488"/>
      <c r="AD82" s="489"/>
      <c r="AE82" s="268"/>
      <c r="AF82" s="274"/>
      <c r="AG82" s="269"/>
    </row>
    <row r="83" spans="2:33" x14ac:dyDescent="0.4">
      <c r="B83" s="403"/>
      <c r="C83" s="280"/>
      <c r="D83" s="323"/>
      <c r="E83" s="324"/>
      <c r="F83" s="314"/>
      <c r="G83" s="315"/>
      <c r="H83" s="315"/>
      <c r="I83" s="315"/>
      <c r="J83" s="513"/>
      <c r="K83" s="328"/>
      <c r="L83" s="328"/>
      <c r="M83" s="328"/>
      <c r="N83" s="328"/>
      <c r="O83" s="328"/>
      <c r="P83" s="280"/>
      <c r="Q83" s="328"/>
      <c r="R83" s="328"/>
      <c r="S83" s="328"/>
      <c r="T83" s="328"/>
      <c r="U83" s="328"/>
      <c r="V83" s="328"/>
      <c r="W83" s="328"/>
      <c r="X83" s="328"/>
      <c r="Y83" s="328"/>
      <c r="Z83" s="493"/>
      <c r="AA83" s="328"/>
      <c r="AB83" s="526"/>
      <c r="AC83" s="490"/>
      <c r="AD83" s="491"/>
      <c r="AE83" s="270"/>
      <c r="AF83" s="275"/>
      <c r="AG83" s="271"/>
    </row>
    <row r="84" spans="2:33" ht="18.649999999999999" customHeight="1" thickBot="1" x14ac:dyDescent="0.45">
      <c r="B84" s="402"/>
      <c r="C84" s="281"/>
      <c r="D84" s="529"/>
      <c r="E84" s="427"/>
      <c r="F84" s="527"/>
      <c r="G84" s="528"/>
      <c r="H84" s="528"/>
      <c r="I84" s="528"/>
      <c r="J84" s="237" t="str">
        <f>IF(ISBLANK(T3)," ","≦"&amp;T3)</f>
        <v>≦380</v>
      </c>
      <c r="K84" s="225">
        <f>L84/$J$3*100%</f>
        <v>0</v>
      </c>
      <c r="L84" s="226">
        <f>$AE$3</f>
        <v>0</v>
      </c>
      <c r="M84" s="229" t="str">
        <f>IF(ISBLANK(AE5),"≧目標轉矩",IF(ISBLANK(N84),"≧"&amp;ROUND(AE5/$N$3,2)*100&amp;"%",ROUND(N84/$N$3,2)*100&amp;"%"))</f>
        <v>≧目標轉矩</v>
      </c>
      <c r="N84" s="227" t="s">
        <v>422</v>
      </c>
      <c r="O84" s="55">
        <v>1470</v>
      </c>
      <c r="P84" s="55">
        <v>51.67</v>
      </c>
      <c r="Q84" s="55">
        <v>284.89999999999998</v>
      </c>
      <c r="R84" s="55">
        <v>376</v>
      </c>
      <c r="S84" s="55">
        <v>376</v>
      </c>
      <c r="T84" s="55">
        <v>375.9</v>
      </c>
      <c r="U84" s="55">
        <v>113.8</v>
      </c>
      <c r="V84" s="55">
        <v>113.8</v>
      </c>
      <c r="W84" s="55">
        <v>113.7</v>
      </c>
      <c r="X84" s="55">
        <v>54.48</v>
      </c>
      <c r="Y84" s="55">
        <v>43.88</v>
      </c>
      <c r="Z84" s="56">
        <v>0.73</v>
      </c>
      <c r="AA84" s="55">
        <v>80.5</v>
      </c>
      <c r="AB84" s="228">
        <v>20</v>
      </c>
      <c r="AC84" s="490"/>
      <c r="AD84" s="491"/>
      <c r="AE84" s="272"/>
      <c r="AF84" s="276"/>
      <c r="AG84" s="273"/>
    </row>
    <row r="85" spans="2:33" x14ac:dyDescent="0.4">
      <c r="B85" s="305" t="s">
        <v>56</v>
      </c>
      <c r="C85" s="303">
        <v>17</v>
      </c>
      <c r="D85" s="307" t="s">
        <v>168</v>
      </c>
      <c r="E85" s="308"/>
      <c r="F85" s="311" t="s">
        <v>376</v>
      </c>
      <c r="G85" s="312"/>
      <c r="H85" s="312"/>
      <c r="I85" s="313"/>
      <c r="J85" s="250" t="s">
        <v>169</v>
      </c>
      <c r="K85" s="258" t="s">
        <v>170</v>
      </c>
      <c r="L85" s="296"/>
      <c r="M85" s="258" t="s">
        <v>379</v>
      </c>
      <c r="N85" s="296"/>
      <c r="O85" s="258" t="s">
        <v>207</v>
      </c>
      <c r="P85" s="296"/>
      <c r="Q85" s="258" t="s">
        <v>171</v>
      </c>
      <c r="R85" s="296"/>
      <c r="S85" s="258" t="s">
        <v>172</v>
      </c>
      <c r="T85" s="296"/>
      <c r="U85" s="258" t="s">
        <v>208</v>
      </c>
      <c r="V85" s="296"/>
      <c r="W85" s="247" t="s">
        <v>174</v>
      </c>
      <c r="X85" s="336"/>
      <c r="Y85" s="337"/>
      <c r="Z85" s="337"/>
      <c r="AA85" s="337"/>
      <c r="AB85" s="335"/>
      <c r="AC85" s="268"/>
      <c r="AD85" s="269"/>
      <c r="AE85" s="268"/>
      <c r="AF85" s="274"/>
      <c r="AG85" s="269"/>
    </row>
    <row r="86" spans="2:33" ht="18" customHeight="1" x14ac:dyDescent="0.4">
      <c r="B86" s="306"/>
      <c r="C86" s="304"/>
      <c r="D86" s="309"/>
      <c r="E86" s="310"/>
      <c r="F86" s="314"/>
      <c r="G86" s="315"/>
      <c r="H86" s="315"/>
      <c r="I86" s="316"/>
      <c r="J86" s="108"/>
      <c r="K86" s="294"/>
      <c r="L86" s="295"/>
      <c r="M86" s="294"/>
      <c r="N86" s="295"/>
      <c r="O86" s="294"/>
      <c r="P86" s="295"/>
      <c r="Q86" s="294"/>
      <c r="R86" s="295"/>
      <c r="S86" s="294"/>
      <c r="T86" s="295"/>
      <c r="U86" s="294"/>
      <c r="V86" s="295"/>
      <c r="W86" s="109">
        <f t="shared" ref="W86:W105" si="10">MAX(K86:V86)</f>
        <v>0</v>
      </c>
      <c r="X86" s="336"/>
      <c r="Y86" s="337"/>
      <c r="Z86" s="337"/>
      <c r="AA86" s="337"/>
      <c r="AB86" s="338"/>
      <c r="AC86" s="270"/>
      <c r="AD86" s="271"/>
      <c r="AE86" s="270"/>
      <c r="AF86" s="275"/>
      <c r="AG86" s="271"/>
    </row>
    <row r="87" spans="2:33" ht="18" customHeight="1" x14ac:dyDescent="0.4">
      <c r="B87" s="306"/>
      <c r="C87" s="304"/>
      <c r="D87" s="309"/>
      <c r="E87" s="310"/>
      <c r="F87" s="314"/>
      <c r="G87" s="315"/>
      <c r="H87" s="315"/>
      <c r="I87" s="316"/>
      <c r="J87" s="108"/>
      <c r="K87" s="294"/>
      <c r="L87" s="295"/>
      <c r="M87" s="294"/>
      <c r="N87" s="295"/>
      <c r="O87" s="294"/>
      <c r="P87" s="295"/>
      <c r="Q87" s="294"/>
      <c r="R87" s="295"/>
      <c r="S87" s="294"/>
      <c r="T87" s="295"/>
      <c r="U87" s="294"/>
      <c r="V87" s="295"/>
      <c r="W87" s="109">
        <f t="shared" si="10"/>
        <v>0</v>
      </c>
      <c r="X87" s="336"/>
      <c r="Y87" s="337"/>
      <c r="Z87" s="337"/>
      <c r="AA87" s="337"/>
      <c r="AB87" s="338"/>
      <c r="AC87" s="270"/>
      <c r="AD87" s="271"/>
      <c r="AE87" s="270"/>
      <c r="AF87" s="275"/>
      <c r="AG87" s="271"/>
    </row>
    <row r="88" spans="2:33" ht="18" customHeight="1" x14ac:dyDescent="0.4">
      <c r="B88" s="306"/>
      <c r="C88" s="304"/>
      <c r="D88" s="309"/>
      <c r="E88" s="310"/>
      <c r="F88" s="314"/>
      <c r="G88" s="315"/>
      <c r="H88" s="315"/>
      <c r="I88" s="316"/>
      <c r="J88" s="108"/>
      <c r="K88" s="253"/>
      <c r="L88" s="254"/>
      <c r="M88" s="253"/>
      <c r="N88" s="254"/>
      <c r="O88" s="253"/>
      <c r="P88" s="254"/>
      <c r="Q88" s="253"/>
      <c r="R88" s="254"/>
      <c r="S88" s="253"/>
      <c r="T88" s="254"/>
      <c r="U88" s="253"/>
      <c r="V88" s="254"/>
      <c r="W88" s="109">
        <f t="shared" si="10"/>
        <v>0</v>
      </c>
      <c r="X88" s="336"/>
      <c r="Y88" s="337"/>
      <c r="Z88" s="337"/>
      <c r="AA88" s="337"/>
      <c r="AB88" s="338"/>
      <c r="AC88" s="270"/>
      <c r="AD88" s="271"/>
      <c r="AE88" s="270"/>
      <c r="AF88" s="275"/>
      <c r="AG88" s="271"/>
    </row>
    <row r="89" spans="2:33" ht="18" customHeight="1" x14ac:dyDescent="0.4">
      <c r="B89" s="306"/>
      <c r="C89" s="304"/>
      <c r="D89" s="309"/>
      <c r="E89" s="310"/>
      <c r="F89" s="314"/>
      <c r="G89" s="315"/>
      <c r="H89" s="315"/>
      <c r="I89" s="316"/>
      <c r="J89" s="108"/>
      <c r="K89" s="253"/>
      <c r="L89" s="254"/>
      <c r="M89" s="253"/>
      <c r="N89" s="254"/>
      <c r="O89" s="253"/>
      <c r="P89" s="254"/>
      <c r="Q89" s="253"/>
      <c r="R89" s="254"/>
      <c r="S89" s="253"/>
      <c r="T89" s="254"/>
      <c r="U89" s="253"/>
      <c r="V89" s="254"/>
      <c r="W89" s="109">
        <f t="shared" si="10"/>
        <v>0</v>
      </c>
      <c r="X89" s="336"/>
      <c r="Y89" s="337"/>
      <c r="Z89" s="337"/>
      <c r="AA89" s="337"/>
      <c r="AB89" s="338"/>
      <c r="AC89" s="270"/>
      <c r="AD89" s="271"/>
      <c r="AE89" s="270"/>
      <c r="AF89" s="275"/>
      <c r="AG89" s="271"/>
    </row>
    <row r="90" spans="2:33" ht="18" customHeight="1" x14ac:dyDescent="0.4">
      <c r="B90" s="306"/>
      <c r="C90" s="304"/>
      <c r="D90" s="309"/>
      <c r="E90" s="310"/>
      <c r="F90" s="314"/>
      <c r="G90" s="315"/>
      <c r="H90" s="315"/>
      <c r="I90" s="316"/>
      <c r="J90" s="108"/>
      <c r="K90" s="253"/>
      <c r="L90" s="254"/>
      <c r="M90" s="253"/>
      <c r="N90" s="254"/>
      <c r="O90" s="253"/>
      <c r="P90" s="254"/>
      <c r="Q90" s="253"/>
      <c r="R90" s="254"/>
      <c r="S90" s="253"/>
      <c r="T90" s="254"/>
      <c r="U90" s="253"/>
      <c r="V90" s="254"/>
      <c r="W90" s="109">
        <f t="shared" si="10"/>
        <v>0</v>
      </c>
      <c r="X90" s="336"/>
      <c r="Y90" s="337"/>
      <c r="Z90" s="337"/>
      <c r="AA90" s="337"/>
      <c r="AB90" s="338"/>
      <c r="AC90" s="270"/>
      <c r="AD90" s="271"/>
      <c r="AE90" s="270"/>
      <c r="AF90" s="275"/>
      <c r="AG90" s="271"/>
    </row>
    <row r="91" spans="2:33" ht="18" customHeight="1" x14ac:dyDescent="0.4">
      <c r="B91" s="306"/>
      <c r="C91" s="304"/>
      <c r="D91" s="309"/>
      <c r="E91" s="310"/>
      <c r="F91" s="314"/>
      <c r="G91" s="315"/>
      <c r="H91" s="315"/>
      <c r="I91" s="316"/>
      <c r="J91" s="108"/>
      <c r="K91" s="253"/>
      <c r="L91" s="254"/>
      <c r="M91" s="253"/>
      <c r="N91" s="254"/>
      <c r="O91" s="253"/>
      <c r="P91" s="254"/>
      <c r="Q91" s="253"/>
      <c r="R91" s="254"/>
      <c r="S91" s="253"/>
      <c r="T91" s="254"/>
      <c r="U91" s="253"/>
      <c r="V91" s="254"/>
      <c r="W91" s="109">
        <f t="shared" si="10"/>
        <v>0</v>
      </c>
      <c r="X91" s="336"/>
      <c r="Y91" s="337"/>
      <c r="Z91" s="337"/>
      <c r="AA91" s="337"/>
      <c r="AB91" s="338"/>
      <c r="AC91" s="270"/>
      <c r="AD91" s="271"/>
      <c r="AE91" s="270"/>
      <c r="AF91" s="275"/>
      <c r="AG91" s="271"/>
    </row>
    <row r="92" spans="2:33" ht="18" customHeight="1" x14ac:dyDescent="0.4">
      <c r="B92" s="306"/>
      <c r="C92" s="304"/>
      <c r="D92" s="309"/>
      <c r="E92" s="310"/>
      <c r="F92" s="314"/>
      <c r="G92" s="315"/>
      <c r="H92" s="315"/>
      <c r="I92" s="316"/>
      <c r="J92" s="108"/>
      <c r="K92" s="253"/>
      <c r="L92" s="254"/>
      <c r="M92" s="253"/>
      <c r="N92" s="254"/>
      <c r="O92" s="253"/>
      <c r="P92" s="254"/>
      <c r="Q92" s="253"/>
      <c r="R92" s="254"/>
      <c r="S92" s="253"/>
      <c r="T92" s="254"/>
      <c r="U92" s="253"/>
      <c r="V92" s="254"/>
      <c r="W92" s="109">
        <f t="shared" si="10"/>
        <v>0</v>
      </c>
      <c r="X92" s="336"/>
      <c r="Y92" s="337"/>
      <c r="Z92" s="337"/>
      <c r="AA92" s="337"/>
      <c r="AB92" s="338"/>
      <c r="AC92" s="270"/>
      <c r="AD92" s="271"/>
      <c r="AE92" s="270"/>
      <c r="AF92" s="275"/>
      <c r="AG92" s="271"/>
    </row>
    <row r="93" spans="2:33" ht="18" customHeight="1" x14ac:dyDescent="0.4">
      <c r="B93" s="306"/>
      <c r="C93" s="304"/>
      <c r="D93" s="309"/>
      <c r="E93" s="310"/>
      <c r="F93" s="314"/>
      <c r="G93" s="315"/>
      <c r="H93" s="315"/>
      <c r="I93" s="316"/>
      <c r="J93" s="108"/>
      <c r="K93" s="253"/>
      <c r="L93" s="254"/>
      <c r="M93" s="253"/>
      <c r="N93" s="254"/>
      <c r="O93" s="253"/>
      <c r="P93" s="254"/>
      <c r="Q93" s="253"/>
      <c r="R93" s="254"/>
      <c r="S93" s="253"/>
      <c r="T93" s="254"/>
      <c r="U93" s="253"/>
      <c r="V93" s="254"/>
      <c r="W93" s="109">
        <f t="shared" si="10"/>
        <v>0</v>
      </c>
      <c r="X93" s="336"/>
      <c r="Y93" s="337"/>
      <c r="Z93" s="337"/>
      <c r="AA93" s="337"/>
      <c r="AB93" s="338"/>
      <c r="AC93" s="270"/>
      <c r="AD93" s="271"/>
      <c r="AE93" s="270"/>
      <c r="AF93" s="275"/>
      <c r="AG93" s="271"/>
    </row>
    <row r="94" spans="2:33" ht="18" customHeight="1" x14ac:dyDescent="0.4">
      <c r="B94" s="306"/>
      <c r="C94" s="304"/>
      <c r="D94" s="309"/>
      <c r="E94" s="310"/>
      <c r="F94" s="314"/>
      <c r="G94" s="315"/>
      <c r="H94" s="315"/>
      <c r="I94" s="316"/>
      <c r="J94" s="108"/>
      <c r="K94" s="253"/>
      <c r="L94" s="254"/>
      <c r="M94" s="253"/>
      <c r="N94" s="254"/>
      <c r="O94" s="253"/>
      <c r="P94" s="254"/>
      <c r="Q94" s="253"/>
      <c r="R94" s="254"/>
      <c r="S94" s="253"/>
      <c r="T94" s="254"/>
      <c r="U94" s="253"/>
      <c r="V94" s="254"/>
      <c r="W94" s="109">
        <f t="shared" si="10"/>
        <v>0</v>
      </c>
      <c r="X94" s="336"/>
      <c r="Y94" s="337"/>
      <c r="Z94" s="337"/>
      <c r="AA94" s="337"/>
      <c r="AB94" s="338"/>
      <c r="AC94" s="270"/>
      <c r="AD94" s="271"/>
      <c r="AE94" s="270"/>
      <c r="AF94" s="275"/>
      <c r="AG94" s="271"/>
    </row>
    <row r="95" spans="2:33" ht="18" customHeight="1" x14ac:dyDescent="0.4">
      <c r="B95" s="306"/>
      <c r="C95" s="304"/>
      <c r="D95" s="309"/>
      <c r="E95" s="310"/>
      <c r="F95" s="314"/>
      <c r="G95" s="315"/>
      <c r="H95" s="315"/>
      <c r="I95" s="316"/>
      <c r="J95" s="108"/>
      <c r="K95" s="253"/>
      <c r="L95" s="254"/>
      <c r="M95" s="253"/>
      <c r="N95" s="254"/>
      <c r="O95" s="253"/>
      <c r="P95" s="254"/>
      <c r="Q95" s="253"/>
      <c r="R95" s="254"/>
      <c r="S95" s="253"/>
      <c r="T95" s="254"/>
      <c r="U95" s="253"/>
      <c r="V95" s="254"/>
      <c r="W95" s="109">
        <f t="shared" si="10"/>
        <v>0</v>
      </c>
      <c r="X95" s="336"/>
      <c r="Y95" s="337"/>
      <c r="Z95" s="337"/>
      <c r="AA95" s="337"/>
      <c r="AB95" s="338"/>
      <c r="AC95" s="270"/>
      <c r="AD95" s="271"/>
      <c r="AE95" s="270"/>
      <c r="AF95" s="275"/>
      <c r="AG95" s="271"/>
    </row>
    <row r="96" spans="2:33" ht="18" customHeight="1" x14ac:dyDescent="0.4">
      <c r="B96" s="306"/>
      <c r="C96" s="304"/>
      <c r="D96" s="309"/>
      <c r="E96" s="310"/>
      <c r="F96" s="314"/>
      <c r="G96" s="315"/>
      <c r="H96" s="315"/>
      <c r="I96" s="316"/>
      <c r="J96" s="108"/>
      <c r="K96" s="253"/>
      <c r="L96" s="254"/>
      <c r="M96" s="253"/>
      <c r="N96" s="254"/>
      <c r="O96" s="253"/>
      <c r="P96" s="254"/>
      <c r="Q96" s="253"/>
      <c r="R96" s="254"/>
      <c r="S96" s="253"/>
      <c r="T96" s="254"/>
      <c r="U96" s="253"/>
      <c r="V96" s="254"/>
      <c r="W96" s="109">
        <f t="shared" si="10"/>
        <v>0</v>
      </c>
      <c r="X96" s="336"/>
      <c r="Y96" s="337"/>
      <c r="Z96" s="337"/>
      <c r="AA96" s="337"/>
      <c r="AB96" s="338"/>
      <c r="AC96" s="270"/>
      <c r="AD96" s="271"/>
      <c r="AE96" s="270"/>
      <c r="AF96" s="275"/>
      <c r="AG96" s="271"/>
    </row>
    <row r="97" spans="2:33" ht="18" customHeight="1" x14ac:dyDescent="0.4">
      <c r="B97" s="306"/>
      <c r="C97" s="304"/>
      <c r="D97" s="309"/>
      <c r="E97" s="310"/>
      <c r="F97" s="314"/>
      <c r="G97" s="315"/>
      <c r="H97" s="315"/>
      <c r="I97" s="316"/>
      <c r="J97" s="108"/>
      <c r="K97" s="253"/>
      <c r="L97" s="254"/>
      <c r="M97" s="253"/>
      <c r="N97" s="254"/>
      <c r="O97" s="253"/>
      <c r="P97" s="254"/>
      <c r="Q97" s="253"/>
      <c r="R97" s="254"/>
      <c r="S97" s="253"/>
      <c r="T97" s="254"/>
      <c r="U97" s="253"/>
      <c r="V97" s="254"/>
      <c r="W97" s="109">
        <f t="shared" si="10"/>
        <v>0</v>
      </c>
      <c r="X97" s="336"/>
      <c r="Y97" s="337"/>
      <c r="Z97" s="337"/>
      <c r="AA97" s="337"/>
      <c r="AB97" s="338"/>
      <c r="AC97" s="270"/>
      <c r="AD97" s="271"/>
      <c r="AE97" s="270"/>
      <c r="AF97" s="275"/>
      <c r="AG97" s="271"/>
    </row>
    <row r="98" spans="2:33" ht="18" customHeight="1" x14ac:dyDescent="0.4">
      <c r="B98" s="306"/>
      <c r="C98" s="304"/>
      <c r="D98" s="309"/>
      <c r="E98" s="310"/>
      <c r="F98" s="314"/>
      <c r="G98" s="315"/>
      <c r="H98" s="315"/>
      <c r="I98" s="316"/>
      <c r="J98" s="108"/>
      <c r="K98" s="253"/>
      <c r="L98" s="254"/>
      <c r="M98" s="253"/>
      <c r="N98" s="254"/>
      <c r="O98" s="253"/>
      <c r="P98" s="254"/>
      <c r="Q98" s="253"/>
      <c r="R98" s="254"/>
      <c r="S98" s="253"/>
      <c r="T98" s="254"/>
      <c r="U98" s="253"/>
      <c r="V98" s="254"/>
      <c r="W98" s="109">
        <f t="shared" si="10"/>
        <v>0</v>
      </c>
      <c r="X98" s="336"/>
      <c r="Y98" s="337"/>
      <c r="Z98" s="337"/>
      <c r="AA98" s="337"/>
      <c r="AB98" s="338"/>
      <c r="AC98" s="270"/>
      <c r="AD98" s="271"/>
      <c r="AE98" s="270"/>
      <c r="AF98" s="275"/>
      <c r="AG98" s="271"/>
    </row>
    <row r="99" spans="2:33" ht="18" customHeight="1" x14ac:dyDescent="0.4">
      <c r="B99" s="306"/>
      <c r="C99" s="304"/>
      <c r="D99" s="309"/>
      <c r="E99" s="310"/>
      <c r="F99" s="314"/>
      <c r="G99" s="315"/>
      <c r="H99" s="315"/>
      <c r="I99" s="316"/>
      <c r="J99" s="108"/>
      <c r="K99" s="294"/>
      <c r="L99" s="295"/>
      <c r="M99" s="294"/>
      <c r="N99" s="295"/>
      <c r="O99" s="294"/>
      <c r="P99" s="295"/>
      <c r="Q99" s="294"/>
      <c r="R99" s="295"/>
      <c r="S99" s="294"/>
      <c r="T99" s="295"/>
      <c r="U99" s="294"/>
      <c r="V99" s="295"/>
      <c r="W99" s="109">
        <f t="shared" si="10"/>
        <v>0</v>
      </c>
      <c r="X99" s="336"/>
      <c r="Y99" s="337"/>
      <c r="Z99" s="337"/>
      <c r="AA99" s="337"/>
      <c r="AB99" s="338"/>
      <c r="AC99" s="270"/>
      <c r="AD99" s="271"/>
      <c r="AE99" s="270"/>
      <c r="AF99" s="275"/>
      <c r="AG99" s="271"/>
    </row>
    <row r="100" spans="2:33" ht="18" customHeight="1" x14ac:dyDescent="0.4">
      <c r="B100" s="306"/>
      <c r="C100" s="304"/>
      <c r="D100" s="309"/>
      <c r="E100" s="310"/>
      <c r="F100" s="314"/>
      <c r="G100" s="315"/>
      <c r="H100" s="315"/>
      <c r="I100" s="316"/>
      <c r="J100" s="108"/>
      <c r="K100" s="294"/>
      <c r="L100" s="295"/>
      <c r="M100" s="294"/>
      <c r="N100" s="295"/>
      <c r="O100" s="294"/>
      <c r="P100" s="295"/>
      <c r="Q100" s="294"/>
      <c r="R100" s="295"/>
      <c r="S100" s="294"/>
      <c r="T100" s="295"/>
      <c r="U100" s="294"/>
      <c r="V100" s="295"/>
      <c r="W100" s="109">
        <f t="shared" si="10"/>
        <v>0</v>
      </c>
      <c r="X100" s="336"/>
      <c r="Y100" s="337"/>
      <c r="Z100" s="337"/>
      <c r="AA100" s="337"/>
      <c r="AB100" s="338"/>
      <c r="AC100" s="270"/>
      <c r="AD100" s="271"/>
      <c r="AE100" s="270"/>
      <c r="AF100" s="275"/>
      <c r="AG100" s="271"/>
    </row>
    <row r="101" spans="2:33" ht="18" customHeight="1" x14ac:dyDescent="0.4">
      <c r="B101" s="306"/>
      <c r="C101" s="304"/>
      <c r="D101" s="309"/>
      <c r="E101" s="310"/>
      <c r="F101" s="314"/>
      <c r="G101" s="315"/>
      <c r="H101" s="315"/>
      <c r="I101" s="316"/>
      <c r="J101" s="108"/>
      <c r="K101" s="294"/>
      <c r="L101" s="295"/>
      <c r="M101" s="294"/>
      <c r="N101" s="295"/>
      <c r="O101" s="294"/>
      <c r="P101" s="295"/>
      <c r="Q101" s="294"/>
      <c r="R101" s="295"/>
      <c r="S101" s="294"/>
      <c r="T101" s="295"/>
      <c r="U101" s="294"/>
      <c r="V101" s="295"/>
      <c r="W101" s="109">
        <f t="shared" si="10"/>
        <v>0</v>
      </c>
      <c r="X101" s="336"/>
      <c r="Y101" s="337"/>
      <c r="Z101" s="337"/>
      <c r="AA101" s="337"/>
      <c r="AB101" s="338"/>
      <c r="AC101" s="270"/>
      <c r="AD101" s="271"/>
      <c r="AE101" s="270"/>
      <c r="AF101" s="275"/>
      <c r="AG101" s="271"/>
    </row>
    <row r="102" spans="2:33" ht="18" customHeight="1" x14ac:dyDescent="0.4">
      <c r="B102" s="306"/>
      <c r="C102" s="304"/>
      <c r="D102" s="309"/>
      <c r="E102" s="310"/>
      <c r="F102" s="314"/>
      <c r="G102" s="315"/>
      <c r="H102" s="315"/>
      <c r="I102" s="316"/>
      <c r="J102" s="108"/>
      <c r="K102" s="294"/>
      <c r="L102" s="295"/>
      <c r="M102" s="294"/>
      <c r="N102" s="295"/>
      <c r="O102" s="294"/>
      <c r="P102" s="295"/>
      <c r="Q102" s="294"/>
      <c r="R102" s="295"/>
      <c r="S102" s="294"/>
      <c r="T102" s="295"/>
      <c r="U102" s="294"/>
      <c r="V102" s="295"/>
      <c r="W102" s="109">
        <f t="shared" si="10"/>
        <v>0</v>
      </c>
      <c r="X102" s="336"/>
      <c r="Y102" s="337"/>
      <c r="Z102" s="337"/>
      <c r="AA102" s="337"/>
      <c r="AB102" s="338"/>
      <c r="AC102" s="270"/>
      <c r="AD102" s="271"/>
      <c r="AE102" s="270"/>
      <c r="AF102" s="275"/>
      <c r="AG102" s="271"/>
    </row>
    <row r="103" spans="2:33" ht="18" customHeight="1" x14ac:dyDescent="0.4">
      <c r="B103" s="306"/>
      <c r="C103" s="304"/>
      <c r="D103" s="309"/>
      <c r="E103" s="310"/>
      <c r="F103" s="314"/>
      <c r="G103" s="315"/>
      <c r="H103" s="315"/>
      <c r="I103" s="316"/>
      <c r="J103" s="108"/>
      <c r="K103" s="294"/>
      <c r="L103" s="295"/>
      <c r="M103" s="294"/>
      <c r="N103" s="295"/>
      <c r="O103" s="294"/>
      <c r="P103" s="295"/>
      <c r="Q103" s="294"/>
      <c r="R103" s="295"/>
      <c r="S103" s="294"/>
      <c r="T103" s="295"/>
      <c r="U103" s="294"/>
      <c r="V103" s="295"/>
      <c r="W103" s="109">
        <f t="shared" si="10"/>
        <v>0</v>
      </c>
      <c r="X103" s="336"/>
      <c r="Y103" s="337"/>
      <c r="Z103" s="337"/>
      <c r="AA103" s="337"/>
      <c r="AB103" s="338"/>
      <c r="AC103" s="270"/>
      <c r="AD103" s="271"/>
      <c r="AE103" s="270"/>
      <c r="AF103" s="275"/>
      <c r="AG103" s="271"/>
    </row>
    <row r="104" spans="2:33" ht="18" customHeight="1" x14ac:dyDescent="0.4">
      <c r="B104" s="306"/>
      <c r="C104" s="304"/>
      <c r="D104" s="309"/>
      <c r="E104" s="310"/>
      <c r="F104" s="314"/>
      <c r="G104" s="315"/>
      <c r="H104" s="315"/>
      <c r="I104" s="316"/>
      <c r="J104" s="108"/>
      <c r="K104" s="294"/>
      <c r="L104" s="295"/>
      <c r="M104" s="294"/>
      <c r="N104" s="295"/>
      <c r="O104" s="294"/>
      <c r="P104" s="295"/>
      <c r="Q104" s="294"/>
      <c r="R104" s="295"/>
      <c r="S104" s="294"/>
      <c r="T104" s="295"/>
      <c r="U104" s="294"/>
      <c r="V104" s="295"/>
      <c r="W104" s="109">
        <f t="shared" si="10"/>
        <v>0</v>
      </c>
      <c r="X104" s="336"/>
      <c r="Y104" s="337"/>
      <c r="Z104" s="337"/>
      <c r="AA104" s="337"/>
      <c r="AB104" s="338"/>
      <c r="AC104" s="270"/>
      <c r="AD104" s="271"/>
      <c r="AE104" s="270"/>
      <c r="AF104" s="275"/>
      <c r="AG104" s="271"/>
    </row>
    <row r="105" spans="2:33" ht="18" customHeight="1" x14ac:dyDescent="0.4">
      <c r="B105" s="306"/>
      <c r="C105" s="304"/>
      <c r="D105" s="309"/>
      <c r="E105" s="310"/>
      <c r="F105" s="314"/>
      <c r="G105" s="315"/>
      <c r="H105" s="315"/>
      <c r="I105" s="316"/>
      <c r="J105" s="108"/>
      <c r="K105" s="294"/>
      <c r="L105" s="295"/>
      <c r="M105" s="294"/>
      <c r="N105" s="295"/>
      <c r="O105" s="294"/>
      <c r="P105" s="295"/>
      <c r="Q105" s="294"/>
      <c r="R105" s="295"/>
      <c r="S105" s="294"/>
      <c r="T105" s="295"/>
      <c r="U105" s="294"/>
      <c r="V105" s="295"/>
      <c r="W105" s="109">
        <f t="shared" si="10"/>
        <v>0</v>
      </c>
      <c r="X105" s="336"/>
      <c r="Y105" s="337"/>
      <c r="Z105" s="337"/>
      <c r="AA105" s="337"/>
      <c r="AB105" s="338"/>
      <c r="AC105" s="270"/>
      <c r="AD105" s="271"/>
      <c r="AE105" s="270"/>
      <c r="AF105" s="275"/>
      <c r="AG105" s="271"/>
    </row>
    <row r="106" spans="2:33" ht="22.5" customHeight="1" thickBot="1" x14ac:dyDescent="0.45">
      <c r="B106" s="306"/>
      <c r="C106" s="304"/>
      <c r="D106" s="309"/>
      <c r="E106" s="310"/>
      <c r="F106" s="314"/>
      <c r="G106" s="315"/>
      <c r="H106" s="315"/>
      <c r="I106" s="316"/>
      <c r="J106" s="320"/>
      <c r="K106" s="321"/>
      <c r="L106" s="321"/>
      <c r="M106" s="321"/>
      <c r="N106" s="321"/>
      <c r="O106" s="321"/>
      <c r="P106" s="321"/>
      <c r="Q106" s="321"/>
      <c r="R106" s="321"/>
      <c r="S106" s="321"/>
      <c r="T106" s="322"/>
      <c r="U106" s="318" t="s">
        <v>173</v>
      </c>
      <c r="V106" s="319"/>
      <c r="W106" s="246">
        <f>MAX(W86:W105)</f>
        <v>0</v>
      </c>
      <c r="X106" s="336"/>
      <c r="Y106" s="337"/>
      <c r="Z106" s="337"/>
      <c r="AA106" s="337"/>
      <c r="AB106" s="338"/>
      <c r="AC106" s="272"/>
      <c r="AD106" s="273"/>
      <c r="AE106" s="272"/>
      <c r="AF106" s="276"/>
      <c r="AG106" s="273"/>
    </row>
    <row r="107" spans="2:33" ht="22.5" customHeight="1" x14ac:dyDescent="0.4">
      <c r="B107" s="277" t="s">
        <v>400</v>
      </c>
      <c r="C107" s="257">
        <v>18</v>
      </c>
      <c r="D107" s="282" t="s">
        <v>407</v>
      </c>
      <c r="E107" s="282"/>
      <c r="F107" s="285" t="s">
        <v>406</v>
      </c>
      <c r="G107" s="285"/>
      <c r="H107" s="285"/>
      <c r="I107" s="286"/>
      <c r="J107" s="93" t="s">
        <v>405</v>
      </c>
      <c r="K107" s="257" t="s">
        <v>401</v>
      </c>
      <c r="L107" s="257"/>
      <c r="M107" s="257"/>
      <c r="N107" s="257"/>
      <c r="O107" s="257" t="s">
        <v>402</v>
      </c>
      <c r="P107" s="257"/>
      <c r="Q107" s="257"/>
      <c r="R107" s="258"/>
      <c r="S107" s="259"/>
      <c r="T107" s="260"/>
      <c r="U107" s="260"/>
      <c r="V107" s="260"/>
      <c r="W107" s="260"/>
      <c r="X107" s="260"/>
      <c r="Y107" s="260"/>
      <c r="Z107" s="260"/>
      <c r="AA107" s="260"/>
      <c r="AB107" s="261"/>
      <c r="AC107" s="268"/>
      <c r="AD107" s="269"/>
      <c r="AE107" s="268"/>
      <c r="AF107" s="274"/>
      <c r="AG107" s="269"/>
    </row>
    <row r="108" spans="2:33" ht="22.5" customHeight="1" x14ac:dyDescent="0.4">
      <c r="B108" s="278"/>
      <c r="C108" s="280"/>
      <c r="D108" s="283"/>
      <c r="E108" s="283"/>
      <c r="F108" s="287"/>
      <c r="G108" s="287"/>
      <c r="H108" s="287"/>
      <c r="I108" s="288"/>
      <c r="J108" s="251" t="s">
        <v>169</v>
      </c>
      <c r="K108" s="280" t="s">
        <v>403</v>
      </c>
      <c r="L108" s="280"/>
      <c r="M108" s="280" t="s">
        <v>404</v>
      </c>
      <c r="N108" s="280"/>
      <c r="O108" s="280" t="s">
        <v>403</v>
      </c>
      <c r="P108" s="280"/>
      <c r="Q108" s="280" t="s">
        <v>404</v>
      </c>
      <c r="R108" s="297"/>
      <c r="S108" s="262"/>
      <c r="T108" s="263"/>
      <c r="U108" s="263"/>
      <c r="V108" s="263"/>
      <c r="W108" s="263"/>
      <c r="X108" s="263"/>
      <c r="Y108" s="263"/>
      <c r="Z108" s="263"/>
      <c r="AA108" s="263"/>
      <c r="AB108" s="264"/>
      <c r="AC108" s="270"/>
      <c r="AD108" s="271"/>
      <c r="AE108" s="270"/>
      <c r="AF108" s="275"/>
      <c r="AG108" s="271"/>
    </row>
    <row r="109" spans="2:33" x14ac:dyDescent="0.4">
      <c r="B109" s="278"/>
      <c r="C109" s="280"/>
      <c r="D109" s="283"/>
      <c r="E109" s="283"/>
      <c r="F109" s="287"/>
      <c r="G109" s="287"/>
      <c r="H109" s="287"/>
      <c r="I109" s="288"/>
      <c r="J109" s="108"/>
      <c r="K109" s="253"/>
      <c r="L109" s="254"/>
      <c r="M109" s="253"/>
      <c r="N109" s="254"/>
      <c r="O109" s="253"/>
      <c r="P109" s="254"/>
      <c r="Q109" s="253"/>
      <c r="R109" s="254"/>
      <c r="S109" s="262"/>
      <c r="T109" s="263"/>
      <c r="U109" s="263"/>
      <c r="V109" s="263"/>
      <c r="W109" s="263"/>
      <c r="X109" s="263"/>
      <c r="Y109" s="263"/>
      <c r="Z109" s="263"/>
      <c r="AA109" s="263"/>
      <c r="AB109" s="264"/>
      <c r="AC109" s="270"/>
      <c r="AD109" s="271"/>
      <c r="AE109" s="270"/>
      <c r="AF109" s="275"/>
      <c r="AG109" s="271"/>
    </row>
    <row r="110" spans="2:33" x14ac:dyDescent="0.4">
      <c r="B110" s="278"/>
      <c r="C110" s="280"/>
      <c r="D110" s="283"/>
      <c r="E110" s="283"/>
      <c r="F110" s="287"/>
      <c r="G110" s="287"/>
      <c r="H110" s="287"/>
      <c r="I110" s="288"/>
      <c r="J110" s="108"/>
      <c r="K110" s="253"/>
      <c r="L110" s="254"/>
      <c r="M110" s="253"/>
      <c r="N110" s="254"/>
      <c r="O110" s="253"/>
      <c r="P110" s="254"/>
      <c r="Q110" s="253"/>
      <c r="R110" s="254"/>
      <c r="S110" s="262"/>
      <c r="T110" s="263"/>
      <c r="U110" s="263"/>
      <c r="V110" s="263"/>
      <c r="W110" s="263"/>
      <c r="X110" s="263"/>
      <c r="Y110" s="263"/>
      <c r="Z110" s="263"/>
      <c r="AA110" s="263"/>
      <c r="AB110" s="264"/>
      <c r="AC110" s="270"/>
      <c r="AD110" s="271"/>
      <c r="AE110" s="270"/>
      <c r="AF110" s="275"/>
      <c r="AG110" s="271"/>
    </row>
    <row r="111" spans="2:33" x14ac:dyDescent="0.4">
      <c r="B111" s="278"/>
      <c r="C111" s="280"/>
      <c r="D111" s="283"/>
      <c r="E111" s="283"/>
      <c r="F111" s="287"/>
      <c r="G111" s="287"/>
      <c r="H111" s="287"/>
      <c r="I111" s="288"/>
      <c r="J111" s="108"/>
      <c r="K111" s="253"/>
      <c r="L111" s="254"/>
      <c r="M111" s="253"/>
      <c r="N111" s="254"/>
      <c r="O111" s="253"/>
      <c r="P111" s="254"/>
      <c r="Q111" s="253"/>
      <c r="R111" s="254"/>
      <c r="S111" s="262"/>
      <c r="T111" s="263"/>
      <c r="U111" s="263"/>
      <c r="V111" s="263"/>
      <c r="W111" s="263"/>
      <c r="X111" s="263"/>
      <c r="Y111" s="263"/>
      <c r="Z111" s="263"/>
      <c r="AA111" s="263"/>
      <c r="AB111" s="264"/>
      <c r="AC111" s="270"/>
      <c r="AD111" s="271"/>
      <c r="AE111" s="270"/>
      <c r="AF111" s="275"/>
      <c r="AG111" s="271"/>
    </row>
    <row r="112" spans="2:33" x14ac:dyDescent="0.4">
      <c r="B112" s="278"/>
      <c r="C112" s="280"/>
      <c r="D112" s="283"/>
      <c r="E112" s="283"/>
      <c r="F112" s="287"/>
      <c r="G112" s="287"/>
      <c r="H112" s="287"/>
      <c r="I112" s="288"/>
      <c r="J112" s="108"/>
      <c r="K112" s="253"/>
      <c r="L112" s="254"/>
      <c r="M112" s="253"/>
      <c r="N112" s="254"/>
      <c r="O112" s="253"/>
      <c r="P112" s="254"/>
      <c r="Q112" s="253"/>
      <c r="R112" s="254"/>
      <c r="S112" s="262"/>
      <c r="T112" s="263"/>
      <c r="U112" s="263"/>
      <c r="V112" s="263"/>
      <c r="W112" s="263"/>
      <c r="X112" s="263"/>
      <c r="Y112" s="263"/>
      <c r="Z112" s="263"/>
      <c r="AA112" s="263"/>
      <c r="AB112" s="264"/>
      <c r="AC112" s="270"/>
      <c r="AD112" s="271"/>
      <c r="AE112" s="270"/>
      <c r="AF112" s="275"/>
      <c r="AG112" s="271"/>
    </row>
    <row r="113" spans="2:33" x14ac:dyDescent="0.4">
      <c r="B113" s="278"/>
      <c r="C113" s="280"/>
      <c r="D113" s="283"/>
      <c r="E113" s="283"/>
      <c r="F113" s="287"/>
      <c r="G113" s="287"/>
      <c r="H113" s="287"/>
      <c r="I113" s="288"/>
      <c r="J113" s="108"/>
      <c r="K113" s="253"/>
      <c r="L113" s="254"/>
      <c r="M113" s="253"/>
      <c r="N113" s="254"/>
      <c r="O113" s="253"/>
      <c r="P113" s="254"/>
      <c r="Q113" s="253"/>
      <c r="R113" s="254"/>
      <c r="S113" s="262"/>
      <c r="T113" s="263"/>
      <c r="U113" s="263"/>
      <c r="V113" s="263"/>
      <c r="W113" s="263"/>
      <c r="X113" s="263"/>
      <c r="Y113" s="263"/>
      <c r="Z113" s="263"/>
      <c r="AA113" s="263"/>
      <c r="AB113" s="264"/>
      <c r="AC113" s="270"/>
      <c r="AD113" s="271"/>
      <c r="AE113" s="270"/>
      <c r="AF113" s="275"/>
      <c r="AG113" s="271"/>
    </row>
    <row r="114" spans="2:33" x14ac:dyDescent="0.4">
      <c r="B114" s="278"/>
      <c r="C114" s="280"/>
      <c r="D114" s="283"/>
      <c r="E114" s="283"/>
      <c r="F114" s="287"/>
      <c r="G114" s="287"/>
      <c r="H114" s="287"/>
      <c r="I114" s="288"/>
      <c r="J114" s="108"/>
      <c r="K114" s="253"/>
      <c r="L114" s="254"/>
      <c r="M114" s="253"/>
      <c r="N114" s="254"/>
      <c r="O114" s="253"/>
      <c r="P114" s="254"/>
      <c r="Q114" s="253"/>
      <c r="R114" s="254"/>
      <c r="S114" s="262"/>
      <c r="T114" s="263"/>
      <c r="U114" s="263"/>
      <c r="V114" s="263"/>
      <c r="W114" s="263"/>
      <c r="X114" s="263"/>
      <c r="Y114" s="263"/>
      <c r="Z114" s="263"/>
      <c r="AA114" s="263"/>
      <c r="AB114" s="264"/>
      <c r="AC114" s="270"/>
      <c r="AD114" s="271"/>
      <c r="AE114" s="270"/>
      <c r="AF114" s="275"/>
      <c r="AG114" s="271"/>
    </row>
    <row r="115" spans="2:33" x14ac:dyDescent="0.4">
      <c r="B115" s="278"/>
      <c r="C115" s="280"/>
      <c r="D115" s="283"/>
      <c r="E115" s="283"/>
      <c r="F115" s="287"/>
      <c r="G115" s="287"/>
      <c r="H115" s="287"/>
      <c r="I115" s="288"/>
      <c r="J115" s="108"/>
      <c r="K115" s="253"/>
      <c r="L115" s="254"/>
      <c r="M115" s="253"/>
      <c r="N115" s="254"/>
      <c r="O115" s="253"/>
      <c r="P115" s="254"/>
      <c r="Q115" s="253"/>
      <c r="R115" s="254"/>
      <c r="S115" s="262"/>
      <c r="T115" s="263"/>
      <c r="U115" s="263"/>
      <c r="V115" s="263"/>
      <c r="W115" s="263"/>
      <c r="X115" s="263"/>
      <c r="Y115" s="263"/>
      <c r="Z115" s="263"/>
      <c r="AA115" s="263"/>
      <c r="AB115" s="264"/>
      <c r="AC115" s="270"/>
      <c r="AD115" s="271"/>
      <c r="AE115" s="270"/>
      <c r="AF115" s="275"/>
      <c r="AG115" s="271"/>
    </row>
    <row r="116" spans="2:33" x14ac:dyDescent="0.4">
      <c r="B116" s="278"/>
      <c r="C116" s="280"/>
      <c r="D116" s="283"/>
      <c r="E116" s="283"/>
      <c r="F116" s="287"/>
      <c r="G116" s="287"/>
      <c r="H116" s="287"/>
      <c r="I116" s="288"/>
      <c r="J116" s="108"/>
      <c r="K116" s="253"/>
      <c r="L116" s="254"/>
      <c r="M116" s="253"/>
      <c r="N116" s="254"/>
      <c r="O116" s="253"/>
      <c r="P116" s="254"/>
      <c r="Q116" s="253"/>
      <c r="R116" s="254"/>
      <c r="S116" s="262"/>
      <c r="T116" s="263"/>
      <c r="U116" s="263"/>
      <c r="V116" s="263"/>
      <c r="W116" s="263"/>
      <c r="X116" s="263"/>
      <c r="Y116" s="263"/>
      <c r="Z116" s="263"/>
      <c r="AA116" s="263"/>
      <c r="AB116" s="264"/>
      <c r="AC116" s="270"/>
      <c r="AD116" s="271"/>
      <c r="AE116" s="270"/>
      <c r="AF116" s="275"/>
      <c r="AG116" s="271"/>
    </row>
    <row r="117" spans="2:33" x14ac:dyDescent="0.4">
      <c r="B117" s="278"/>
      <c r="C117" s="280"/>
      <c r="D117" s="283"/>
      <c r="E117" s="283"/>
      <c r="F117" s="287"/>
      <c r="G117" s="287"/>
      <c r="H117" s="287"/>
      <c r="I117" s="288"/>
      <c r="J117" s="108"/>
      <c r="K117" s="253"/>
      <c r="L117" s="254"/>
      <c r="M117" s="253"/>
      <c r="N117" s="254"/>
      <c r="O117" s="253"/>
      <c r="P117" s="254"/>
      <c r="Q117" s="253"/>
      <c r="R117" s="254"/>
      <c r="S117" s="262"/>
      <c r="T117" s="263"/>
      <c r="U117" s="263"/>
      <c r="V117" s="263"/>
      <c r="W117" s="263"/>
      <c r="X117" s="263"/>
      <c r="Y117" s="263"/>
      <c r="Z117" s="263"/>
      <c r="AA117" s="263"/>
      <c r="AB117" s="264"/>
      <c r="AC117" s="270"/>
      <c r="AD117" s="271"/>
      <c r="AE117" s="270"/>
      <c r="AF117" s="275"/>
      <c r="AG117" s="271"/>
    </row>
    <row r="118" spans="2:33" x14ac:dyDescent="0.4">
      <c r="B118" s="278"/>
      <c r="C118" s="280"/>
      <c r="D118" s="283"/>
      <c r="E118" s="283"/>
      <c r="F118" s="287"/>
      <c r="G118" s="287"/>
      <c r="H118" s="287"/>
      <c r="I118" s="288"/>
      <c r="J118" s="108"/>
      <c r="K118" s="253"/>
      <c r="L118" s="254"/>
      <c r="M118" s="253"/>
      <c r="N118" s="254"/>
      <c r="O118" s="253"/>
      <c r="P118" s="254"/>
      <c r="Q118" s="253"/>
      <c r="R118" s="254"/>
      <c r="S118" s="262"/>
      <c r="T118" s="263"/>
      <c r="U118" s="263"/>
      <c r="V118" s="263"/>
      <c r="W118" s="263"/>
      <c r="X118" s="263"/>
      <c r="Y118" s="263"/>
      <c r="Z118" s="263"/>
      <c r="AA118" s="263"/>
      <c r="AB118" s="264"/>
      <c r="AC118" s="270"/>
      <c r="AD118" s="271"/>
      <c r="AE118" s="270"/>
      <c r="AF118" s="275"/>
      <c r="AG118" s="271"/>
    </row>
    <row r="119" spans="2:33" x14ac:dyDescent="0.4">
      <c r="B119" s="278"/>
      <c r="C119" s="280"/>
      <c r="D119" s="283"/>
      <c r="E119" s="283"/>
      <c r="F119" s="287"/>
      <c r="G119" s="287"/>
      <c r="H119" s="287"/>
      <c r="I119" s="288"/>
      <c r="J119" s="108"/>
      <c r="K119" s="253"/>
      <c r="L119" s="254"/>
      <c r="M119" s="253"/>
      <c r="N119" s="254"/>
      <c r="O119" s="253"/>
      <c r="P119" s="254"/>
      <c r="Q119" s="253"/>
      <c r="R119" s="254"/>
      <c r="S119" s="262"/>
      <c r="T119" s="263"/>
      <c r="U119" s="263"/>
      <c r="V119" s="263"/>
      <c r="W119" s="263"/>
      <c r="X119" s="263"/>
      <c r="Y119" s="263"/>
      <c r="Z119" s="263"/>
      <c r="AA119" s="263"/>
      <c r="AB119" s="264"/>
      <c r="AC119" s="270"/>
      <c r="AD119" s="271"/>
      <c r="AE119" s="270"/>
      <c r="AF119" s="275"/>
      <c r="AG119" s="271"/>
    </row>
    <row r="120" spans="2:33" x14ac:dyDescent="0.4">
      <c r="B120" s="278"/>
      <c r="C120" s="280"/>
      <c r="D120" s="283"/>
      <c r="E120" s="283"/>
      <c r="F120" s="287"/>
      <c r="G120" s="287"/>
      <c r="H120" s="287"/>
      <c r="I120" s="288"/>
      <c r="J120" s="108"/>
      <c r="K120" s="253"/>
      <c r="L120" s="254"/>
      <c r="M120" s="253"/>
      <c r="N120" s="254"/>
      <c r="O120" s="253"/>
      <c r="P120" s="254"/>
      <c r="Q120" s="253"/>
      <c r="R120" s="254"/>
      <c r="S120" s="262"/>
      <c r="T120" s="263"/>
      <c r="U120" s="263"/>
      <c r="V120" s="263"/>
      <c r="W120" s="263"/>
      <c r="X120" s="263"/>
      <c r="Y120" s="263"/>
      <c r="Z120" s="263"/>
      <c r="AA120" s="263"/>
      <c r="AB120" s="264"/>
      <c r="AC120" s="270"/>
      <c r="AD120" s="271"/>
      <c r="AE120" s="270"/>
      <c r="AF120" s="275"/>
      <c r="AG120" s="271"/>
    </row>
    <row r="121" spans="2:33" x14ac:dyDescent="0.4">
      <c r="B121" s="278"/>
      <c r="C121" s="280"/>
      <c r="D121" s="283"/>
      <c r="E121" s="283"/>
      <c r="F121" s="287"/>
      <c r="G121" s="287"/>
      <c r="H121" s="287"/>
      <c r="I121" s="288"/>
      <c r="J121" s="108"/>
      <c r="K121" s="253"/>
      <c r="L121" s="254"/>
      <c r="M121" s="253"/>
      <c r="N121" s="254"/>
      <c r="O121" s="253"/>
      <c r="P121" s="254"/>
      <c r="Q121" s="253"/>
      <c r="R121" s="254"/>
      <c r="S121" s="262"/>
      <c r="T121" s="263"/>
      <c r="U121" s="263"/>
      <c r="V121" s="263"/>
      <c r="W121" s="263"/>
      <c r="X121" s="263"/>
      <c r="Y121" s="263"/>
      <c r="Z121" s="263"/>
      <c r="AA121" s="263"/>
      <c r="AB121" s="264"/>
      <c r="AC121" s="270"/>
      <c r="AD121" s="271"/>
      <c r="AE121" s="270"/>
      <c r="AF121" s="275"/>
      <c r="AG121" s="271"/>
    </row>
    <row r="122" spans="2:33" x14ac:dyDescent="0.4">
      <c r="B122" s="278"/>
      <c r="C122" s="280"/>
      <c r="D122" s="283"/>
      <c r="E122" s="283"/>
      <c r="F122" s="287"/>
      <c r="G122" s="287"/>
      <c r="H122" s="287"/>
      <c r="I122" s="288"/>
      <c r="J122" s="108"/>
      <c r="K122" s="253"/>
      <c r="L122" s="254"/>
      <c r="M122" s="253"/>
      <c r="N122" s="254"/>
      <c r="O122" s="253"/>
      <c r="P122" s="254"/>
      <c r="Q122" s="253"/>
      <c r="R122" s="254"/>
      <c r="S122" s="262"/>
      <c r="T122" s="263"/>
      <c r="U122" s="263"/>
      <c r="V122" s="263"/>
      <c r="W122" s="263"/>
      <c r="X122" s="263"/>
      <c r="Y122" s="263"/>
      <c r="Z122" s="263"/>
      <c r="AA122" s="263"/>
      <c r="AB122" s="264"/>
      <c r="AC122" s="270"/>
      <c r="AD122" s="271"/>
      <c r="AE122" s="270"/>
      <c r="AF122" s="275"/>
      <c r="AG122" s="271"/>
    </row>
    <row r="123" spans="2:33" x14ac:dyDescent="0.4">
      <c r="B123" s="278"/>
      <c r="C123" s="280"/>
      <c r="D123" s="283"/>
      <c r="E123" s="283"/>
      <c r="F123" s="287"/>
      <c r="G123" s="287"/>
      <c r="H123" s="287"/>
      <c r="I123" s="288"/>
      <c r="J123" s="108"/>
      <c r="K123" s="253"/>
      <c r="L123" s="254"/>
      <c r="M123" s="253"/>
      <c r="N123" s="254"/>
      <c r="O123" s="253"/>
      <c r="P123" s="254"/>
      <c r="Q123" s="253"/>
      <c r="R123" s="254"/>
      <c r="S123" s="262"/>
      <c r="T123" s="263"/>
      <c r="U123" s="263"/>
      <c r="V123" s="263"/>
      <c r="W123" s="263"/>
      <c r="X123" s="263"/>
      <c r="Y123" s="263"/>
      <c r="Z123" s="263"/>
      <c r="AA123" s="263"/>
      <c r="AB123" s="264"/>
      <c r="AC123" s="270"/>
      <c r="AD123" s="271"/>
      <c r="AE123" s="270"/>
      <c r="AF123" s="275"/>
      <c r="AG123" s="271"/>
    </row>
    <row r="124" spans="2:33" x14ac:dyDescent="0.4">
      <c r="B124" s="278"/>
      <c r="C124" s="280"/>
      <c r="D124" s="283"/>
      <c r="E124" s="283"/>
      <c r="F124" s="287"/>
      <c r="G124" s="287"/>
      <c r="H124" s="287"/>
      <c r="I124" s="288"/>
      <c r="J124" s="108"/>
      <c r="K124" s="253"/>
      <c r="L124" s="254"/>
      <c r="M124" s="253"/>
      <c r="N124" s="254"/>
      <c r="O124" s="253"/>
      <c r="P124" s="254"/>
      <c r="Q124" s="253"/>
      <c r="R124" s="254"/>
      <c r="S124" s="262"/>
      <c r="T124" s="263"/>
      <c r="U124" s="263"/>
      <c r="V124" s="263"/>
      <c r="W124" s="263"/>
      <c r="X124" s="263"/>
      <c r="Y124" s="263"/>
      <c r="Z124" s="263"/>
      <c r="AA124" s="263"/>
      <c r="AB124" s="264"/>
      <c r="AC124" s="270"/>
      <c r="AD124" s="271"/>
      <c r="AE124" s="270"/>
      <c r="AF124" s="275"/>
      <c r="AG124" s="271"/>
    </row>
    <row r="125" spans="2:33" x14ac:dyDescent="0.4">
      <c r="B125" s="278"/>
      <c r="C125" s="280"/>
      <c r="D125" s="283"/>
      <c r="E125" s="283"/>
      <c r="F125" s="287"/>
      <c r="G125" s="287"/>
      <c r="H125" s="287"/>
      <c r="I125" s="288"/>
      <c r="J125" s="108"/>
      <c r="K125" s="253"/>
      <c r="L125" s="254"/>
      <c r="M125" s="253"/>
      <c r="N125" s="254"/>
      <c r="O125" s="253"/>
      <c r="P125" s="254"/>
      <c r="Q125" s="253"/>
      <c r="R125" s="254"/>
      <c r="S125" s="262"/>
      <c r="T125" s="263"/>
      <c r="U125" s="263"/>
      <c r="V125" s="263"/>
      <c r="W125" s="263"/>
      <c r="X125" s="263"/>
      <c r="Y125" s="263"/>
      <c r="Z125" s="263"/>
      <c r="AA125" s="263"/>
      <c r="AB125" s="264"/>
      <c r="AC125" s="270"/>
      <c r="AD125" s="271"/>
      <c r="AE125" s="270"/>
      <c r="AF125" s="275"/>
      <c r="AG125" s="271"/>
    </row>
    <row r="126" spans="2:33" x14ac:dyDescent="0.4">
      <c r="B126" s="278"/>
      <c r="C126" s="280"/>
      <c r="D126" s="283"/>
      <c r="E126" s="283"/>
      <c r="F126" s="287"/>
      <c r="G126" s="287"/>
      <c r="H126" s="287"/>
      <c r="I126" s="288"/>
      <c r="J126" s="108"/>
      <c r="K126" s="253"/>
      <c r="L126" s="254"/>
      <c r="M126" s="253"/>
      <c r="N126" s="254"/>
      <c r="O126" s="253"/>
      <c r="P126" s="254"/>
      <c r="Q126" s="253"/>
      <c r="R126" s="254"/>
      <c r="S126" s="262"/>
      <c r="T126" s="263"/>
      <c r="U126" s="263"/>
      <c r="V126" s="263"/>
      <c r="W126" s="263"/>
      <c r="X126" s="263"/>
      <c r="Y126" s="263"/>
      <c r="Z126" s="263"/>
      <c r="AA126" s="263"/>
      <c r="AB126" s="264"/>
      <c r="AC126" s="270"/>
      <c r="AD126" s="271"/>
      <c r="AE126" s="270"/>
      <c r="AF126" s="275"/>
      <c r="AG126" s="271"/>
    </row>
    <row r="127" spans="2:33" x14ac:dyDescent="0.4">
      <c r="B127" s="278"/>
      <c r="C127" s="280"/>
      <c r="D127" s="283"/>
      <c r="E127" s="283"/>
      <c r="F127" s="287"/>
      <c r="G127" s="287"/>
      <c r="H127" s="287"/>
      <c r="I127" s="288"/>
      <c r="J127" s="108"/>
      <c r="K127" s="253"/>
      <c r="L127" s="254"/>
      <c r="M127" s="253"/>
      <c r="N127" s="254"/>
      <c r="O127" s="253"/>
      <c r="P127" s="254"/>
      <c r="Q127" s="253"/>
      <c r="R127" s="254"/>
      <c r="S127" s="262"/>
      <c r="T127" s="263"/>
      <c r="U127" s="263"/>
      <c r="V127" s="263"/>
      <c r="W127" s="263"/>
      <c r="X127" s="263"/>
      <c r="Y127" s="263"/>
      <c r="Z127" s="263"/>
      <c r="AA127" s="263"/>
      <c r="AB127" s="264"/>
      <c r="AC127" s="270"/>
      <c r="AD127" s="271"/>
      <c r="AE127" s="270"/>
      <c r="AF127" s="275"/>
      <c r="AG127" s="271"/>
    </row>
    <row r="128" spans="2:33" ht="17.5" thickBot="1" x14ac:dyDescent="0.45">
      <c r="B128" s="279"/>
      <c r="C128" s="281"/>
      <c r="D128" s="284"/>
      <c r="E128" s="284"/>
      <c r="F128" s="289"/>
      <c r="G128" s="289"/>
      <c r="H128" s="289"/>
      <c r="I128" s="290"/>
      <c r="J128" s="108"/>
      <c r="K128" s="253"/>
      <c r="L128" s="254"/>
      <c r="M128" s="253"/>
      <c r="N128" s="254"/>
      <c r="O128" s="253"/>
      <c r="P128" s="254"/>
      <c r="Q128" s="253"/>
      <c r="R128" s="254"/>
      <c r="S128" s="265"/>
      <c r="T128" s="266"/>
      <c r="U128" s="266"/>
      <c r="V128" s="266"/>
      <c r="W128" s="266"/>
      <c r="X128" s="266"/>
      <c r="Y128" s="266"/>
      <c r="Z128" s="266"/>
      <c r="AA128" s="266"/>
      <c r="AB128" s="267"/>
      <c r="AC128" s="272"/>
      <c r="AD128" s="273"/>
      <c r="AE128" s="272"/>
      <c r="AF128" s="276"/>
      <c r="AG128" s="273"/>
    </row>
    <row r="129" spans="2:33" ht="22.15" customHeight="1" x14ac:dyDescent="0.4">
      <c r="B129" s="248"/>
      <c r="C129" s="42"/>
      <c r="D129" s="112"/>
      <c r="E129" s="112"/>
      <c r="F129" s="42"/>
      <c r="G129" s="42"/>
      <c r="H129" s="42"/>
      <c r="I129" s="42"/>
      <c r="L129" s="44"/>
      <c r="M129" s="44"/>
      <c r="N129" s="44"/>
      <c r="O129" s="44"/>
      <c r="P129" s="249"/>
      <c r="Q129" s="249"/>
      <c r="R129" s="249"/>
      <c r="S129" s="249"/>
      <c r="T129" s="249"/>
      <c r="U129" s="249"/>
      <c r="V129" s="249"/>
      <c r="W129" s="249"/>
      <c r="AC129" s="44"/>
      <c r="AD129" s="44"/>
      <c r="AE129" s="44"/>
      <c r="AF129" s="44"/>
      <c r="AG129" s="44"/>
    </row>
    <row r="130" spans="2:33" ht="22.15" customHeight="1" x14ac:dyDescent="0.4"/>
    <row r="131" spans="2:33" ht="22.5" customHeight="1" x14ac:dyDescent="0.4">
      <c r="B131" s="110" t="s">
        <v>382</v>
      </c>
    </row>
    <row r="132" spans="2:33" ht="22.5" customHeight="1" x14ac:dyDescent="0.4">
      <c r="B132" s="110" t="s">
        <v>383</v>
      </c>
    </row>
    <row r="133" spans="2:33" ht="22.5" customHeight="1" x14ac:dyDescent="0.4"/>
    <row r="134" spans="2:33" ht="22.5" customHeight="1" x14ac:dyDescent="0.4">
      <c r="B134" s="110" t="s">
        <v>243</v>
      </c>
    </row>
    <row r="135" spans="2:33" ht="22.5" customHeight="1" x14ac:dyDescent="0.4">
      <c r="B135" s="110" t="s">
        <v>371</v>
      </c>
    </row>
    <row r="136" spans="2:33" ht="22.5" customHeight="1" x14ac:dyDescent="0.4">
      <c r="B136" s="110" t="s">
        <v>239</v>
      </c>
    </row>
    <row r="137" spans="2:33" ht="22.5" customHeight="1" x14ac:dyDescent="0.4">
      <c r="B137" s="111" t="s">
        <v>360</v>
      </c>
    </row>
    <row r="138" spans="2:33" ht="22.5" customHeight="1" x14ac:dyDescent="0.4">
      <c r="B138" s="110"/>
    </row>
    <row r="139" spans="2:33" ht="22.5" customHeight="1" x14ac:dyDescent="0.4">
      <c r="B139" s="112" t="s">
        <v>244</v>
      </c>
    </row>
    <row r="140" spans="2:33" ht="22.5" customHeight="1" x14ac:dyDescent="0.4">
      <c r="B140" s="112" t="s">
        <v>370</v>
      </c>
    </row>
    <row r="141" spans="2:33" ht="22.5" customHeight="1" x14ac:dyDescent="0.4">
      <c r="B141" s="110" t="s">
        <v>240</v>
      </c>
    </row>
    <row r="142" spans="2:33" ht="22.5" customHeight="1" x14ac:dyDescent="0.4">
      <c r="B142" s="110" t="s">
        <v>241</v>
      </c>
    </row>
    <row r="143" spans="2:33" ht="22.5" customHeight="1" x14ac:dyDescent="0.4">
      <c r="B143" s="111" t="s">
        <v>359</v>
      </c>
    </row>
    <row r="144" spans="2:33" ht="22.5" customHeight="1" x14ac:dyDescent="0.4">
      <c r="B144" s="110" t="s">
        <v>362</v>
      </c>
    </row>
    <row r="145" spans="2:18" ht="21" customHeight="1" x14ac:dyDescent="0.4"/>
    <row r="146" spans="2:18" x14ac:dyDescent="0.4">
      <c r="B146" s="110" t="s">
        <v>245</v>
      </c>
      <c r="C146" s="42"/>
      <c r="D146"/>
      <c r="E146"/>
      <c r="F146" s="42"/>
      <c r="G146" s="42"/>
      <c r="H146" s="42"/>
      <c r="I146" s="42"/>
    </row>
    <row r="147" spans="2:18" x14ac:dyDescent="0.4">
      <c r="B147" s="110" t="s">
        <v>392</v>
      </c>
      <c r="C147" s="42"/>
      <c r="D147"/>
      <c r="E147"/>
      <c r="F147" s="42"/>
      <c r="G147" s="42"/>
      <c r="H147" s="42"/>
      <c r="I147" s="42"/>
    </row>
    <row r="148" spans="2:18" x14ac:dyDescent="0.4">
      <c r="B148" s="110" t="s">
        <v>248</v>
      </c>
    </row>
    <row r="149" spans="2:18" x14ac:dyDescent="0.4">
      <c r="B149" s="110" t="s">
        <v>242</v>
      </c>
    </row>
    <row r="150" spans="2:18" x14ac:dyDescent="0.4">
      <c r="B150" s="111" t="s">
        <v>359</v>
      </c>
    </row>
    <row r="151" spans="2:18" x14ac:dyDescent="0.4">
      <c r="L151" s="44"/>
      <c r="M151" s="43"/>
      <c r="N151" s="43"/>
      <c r="O151" s="43"/>
      <c r="P151" s="43"/>
      <c r="Q151" s="43"/>
      <c r="R151" s="43"/>
    </row>
    <row r="152" spans="2:18" x14ac:dyDescent="0.4">
      <c r="B152" s="112" t="s">
        <v>358</v>
      </c>
      <c r="L152" s="44"/>
      <c r="M152" s="43"/>
      <c r="N152" s="43"/>
      <c r="O152" s="43"/>
      <c r="P152" s="43"/>
      <c r="Q152" s="43"/>
      <c r="R152" s="43"/>
    </row>
    <row r="153" spans="2:18" x14ac:dyDescent="0.4">
      <c r="B153" s="112" t="s">
        <v>361</v>
      </c>
      <c r="L153" s="44"/>
      <c r="M153" s="43"/>
      <c r="N153" s="43"/>
      <c r="O153" s="43"/>
      <c r="P153" s="43"/>
      <c r="Q153" s="43"/>
      <c r="R153" s="43"/>
    </row>
    <row r="154" spans="2:18" x14ac:dyDescent="0.4">
      <c r="B154" s="110" t="s">
        <v>375</v>
      </c>
      <c r="L154" s="44"/>
      <c r="M154" s="43"/>
    </row>
    <row r="155" spans="2:18" x14ac:dyDescent="0.4">
      <c r="B155" s="110" t="s">
        <v>389</v>
      </c>
    </row>
    <row r="156" spans="2:18" x14ac:dyDescent="0.4">
      <c r="B156" s="110" t="s">
        <v>390</v>
      </c>
    </row>
    <row r="158" spans="2:18" x14ac:dyDescent="0.4">
      <c r="B158" s="112" t="s">
        <v>377</v>
      </c>
    </row>
    <row r="159" spans="2:18" x14ac:dyDescent="0.4">
      <c r="B159" s="317" t="s">
        <v>378</v>
      </c>
      <c r="C159" s="317"/>
      <c r="D159" s="317"/>
      <c r="E159" s="317"/>
      <c r="F159" s="317"/>
    </row>
    <row r="160" spans="2:18" x14ac:dyDescent="0.4">
      <c r="B160" s="317"/>
      <c r="C160" s="317"/>
      <c r="D160" s="317"/>
      <c r="E160" s="317"/>
      <c r="F160" s="317"/>
    </row>
    <row r="161" spans="2:9" x14ac:dyDescent="0.4">
      <c r="B161" s="317"/>
      <c r="C161" s="317"/>
      <c r="D161" s="317"/>
      <c r="E161" s="317"/>
      <c r="F161" s="317"/>
    </row>
    <row r="162" spans="2:9" x14ac:dyDescent="0.4">
      <c r="B162" s="317"/>
      <c r="C162" s="317"/>
      <c r="D162" s="317"/>
      <c r="E162" s="317"/>
      <c r="F162" s="317"/>
    </row>
    <row r="163" spans="2:9" x14ac:dyDescent="0.4">
      <c r="B163" s="317"/>
      <c r="C163" s="317"/>
      <c r="D163" s="317"/>
      <c r="E163" s="317"/>
      <c r="F163" s="317"/>
    </row>
    <row r="164" spans="2:9" x14ac:dyDescent="0.4">
      <c r="B164" s="317"/>
      <c r="C164" s="317"/>
      <c r="D164" s="317"/>
      <c r="E164" s="317"/>
      <c r="F164" s="317"/>
    </row>
    <row r="165" spans="2:9" x14ac:dyDescent="0.4">
      <c r="B165" s="317"/>
      <c r="C165" s="317"/>
      <c r="D165" s="317"/>
      <c r="E165" s="317"/>
      <c r="F165" s="317"/>
    </row>
    <row r="166" spans="2:9" x14ac:dyDescent="0.4">
      <c r="B166" s="230"/>
      <c r="C166" s="230"/>
      <c r="D166" s="230"/>
      <c r="E166" s="230"/>
      <c r="F166" s="230"/>
    </row>
    <row r="167" spans="2:9" x14ac:dyDescent="0.4">
      <c r="B167" s="298" t="s">
        <v>260</v>
      </c>
      <c r="C167" s="298"/>
      <c r="D167" s="298" t="s">
        <v>255</v>
      </c>
      <c r="E167" s="298"/>
      <c r="F167" s="298"/>
      <c r="G167" s="298"/>
      <c r="H167" s="298"/>
      <c r="I167" s="298"/>
    </row>
    <row r="168" spans="2:9" x14ac:dyDescent="0.4">
      <c r="B168" s="298" t="s">
        <v>256</v>
      </c>
      <c r="C168" s="298"/>
      <c r="D168" s="299" t="s">
        <v>257</v>
      </c>
      <c r="E168" s="300"/>
      <c r="F168" s="300"/>
      <c r="G168" s="300"/>
      <c r="H168" s="300"/>
      <c r="I168" s="301"/>
    </row>
    <row r="169" spans="2:9" x14ac:dyDescent="0.4">
      <c r="B169" s="298" t="s">
        <v>258</v>
      </c>
      <c r="C169" s="298"/>
      <c r="D169" s="302" t="s">
        <v>259</v>
      </c>
      <c r="E169" s="302"/>
      <c r="F169" s="302"/>
      <c r="G169" s="302"/>
      <c r="H169" s="302"/>
      <c r="I169" s="302"/>
    </row>
    <row r="170" spans="2:9" ht="34.5" customHeight="1" x14ac:dyDescent="0.4">
      <c r="B170" s="298"/>
      <c r="C170" s="298"/>
      <c r="D170" s="302"/>
      <c r="E170" s="302"/>
      <c r="F170" s="302"/>
      <c r="G170" s="302"/>
      <c r="H170" s="302"/>
      <c r="I170" s="302"/>
    </row>
    <row r="171" spans="2:9" ht="34.5" customHeight="1" x14ac:dyDescent="0.4"/>
    <row r="172" spans="2:9" ht="34.5" customHeight="1" x14ac:dyDescent="0.4"/>
  </sheetData>
  <protectedRanges>
    <protectedRange sqref="J128:R128 K109:R127" name="範圍6"/>
    <protectedRange sqref="L81 J86:V105 J109:J128" name="振動"/>
    <protectedRange sqref="F3 F5 H5 H3 J3 L3 N3 P3 R3 T3 P5 N5 J8 L9:N10 L14:O15 L17:N22 J23:AB24 L25 N33:Z41 M35:M41 N44:Z52 M46:M52 Q53 J53 O56:AA65 N59:N65 J66 R70:R74 P70:P74 L81 L12:N12" name="範圍1"/>
    <protectedRange sqref="AD106:AD108 AD128:AD129 AC8:AG105 AE106:AG129 AC106:AC129" name="備註欄"/>
    <protectedRange sqref="N84:AB84 J84" name="ACC"/>
    <protectedRange sqref="Y3:AF3 Y5:AB5 AE5" name="驗收標準"/>
  </protectedRanges>
  <mergeCells count="376">
    <mergeCell ref="B31:B41"/>
    <mergeCell ref="B42:B53"/>
    <mergeCell ref="C42:C53"/>
    <mergeCell ref="F26:I30"/>
    <mergeCell ref="D26:E30"/>
    <mergeCell ref="F66:I66"/>
    <mergeCell ref="C80:C81"/>
    <mergeCell ref="D80:E81"/>
    <mergeCell ref="B80:B81"/>
    <mergeCell ref="B54:B67"/>
    <mergeCell ref="F82:I84"/>
    <mergeCell ref="D68:E74"/>
    <mergeCell ref="C68:C74"/>
    <mergeCell ref="B68:B74"/>
    <mergeCell ref="F68:I74"/>
    <mergeCell ref="D75:E79"/>
    <mergeCell ref="F75:I79"/>
    <mergeCell ref="F80:I81"/>
    <mergeCell ref="D82:E84"/>
    <mergeCell ref="B75:B79"/>
    <mergeCell ref="C75:C79"/>
    <mergeCell ref="B82:B84"/>
    <mergeCell ref="C82:C84"/>
    <mergeCell ref="J82:J83"/>
    <mergeCell ref="K82:K83"/>
    <mergeCell ref="T42:T43"/>
    <mergeCell ref="P66:AA67"/>
    <mergeCell ref="K42:K43"/>
    <mergeCell ref="T70:U70"/>
    <mergeCell ref="P68:Q69"/>
    <mergeCell ref="K74:L74"/>
    <mergeCell ref="M74:O74"/>
    <mergeCell ref="K73:L73"/>
    <mergeCell ref="M70:O70"/>
    <mergeCell ref="J68:J69"/>
    <mergeCell ref="K54:K55"/>
    <mergeCell ref="L54:L55"/>
    <mergeCell ref="M73:O73"/>
    <mergeCell ref="V68:AB74"/>
    <mergeCell ref="T68:U69"/>
    <mergeCell ref="AB82:AB83"/>
    <mergeCell ref="M72:O72"/>
    <mergeCell ref="X82:X83"/>
    <mergeCell ref="AB54:AB67"/>
    <mergeCell ref="Q54:Q55"/>
    <mergeCell ref="P54:P55"/>
    <mergeCell ref="T82:T83"/>
    <mergeCell ref="AA2:AB2"/>
    <mergeCell ref="AA3:AB3"/>
    <mergeCell ref="AA4:AB4"/>
    <mergeCell ref="AA5:AB5"/>
    <mergeCell ref="AA26:AB30"/>
    <mergeCell ref="S42:S43"/>
    <mergeCell ref="R2:S2"/>
    <mergeCell ref="P5:Q5"/>
    <mergeCell ref="V2:W2"/>
    <mergeCell ref="V3:W3"/>
    <mergeCell ref="T4:U4"/>
    <mergeCell ref="T5:U5"/>
    <mergeCell ref="J8:AB8"/>
    <mergeCell ref="O9:AB12"/>
    <mergeCell ref="P13:AB16"/>
    <mergeCell ref="T2:U2"/>
    <mergeCell ref="J20:K20"/>
    <mergeCell ref="J14:K14"/>
    <mergeCell ref="J9:K9"/>
    <mergeCell ref="J17:K17"/>
    <mergeCell ref="J42:J43"/>
    <mergeCell ref="J18:K18"/>
    <mergeCell ref="N2:O2"/>
    <mergeCell ref="O17:AB19"/>
    <mergeCell ref="AE31:AG41"/>
    <mergeCell ref="AC68:AD74"/>
    <mergeCell ref="AE80:AG81"/>
    <mergeCell ref="X31:X32"/>
    <mergeCell ref="D23:E23"/>
    <mergeCell ref="Z31:Z32"/>
    <mergeCell ref="Y31:Y32"/>
    <mergeCell ref="W42:W43"/>
    <mergeCell ref="AA31:AB41"/>
    <mergeCell ref="U54:U55"/>
    <mergeCell ref="U42:U43"/>
    <mergeCell ref="V42:V43"/>
    <mergeCell ref="AC23:AD23"/>
    <mergeCell ref="AC24:AD24"/>
    <mergeCell ref="AC25:AD25"/>
    <mergeCell ref="X42:X43"/>
    <mergeCell ref="Y42:Y43"/>
    <mergeCell ref="Z42:Z43"/>
    <mergeCell ref="W31:W32"/>
    <mergeCell ref="T54:T55"/>
    <mergeCell ref="V54:AA54"/>
    <mergeCell ref="N42:N43"/>
    <mergeCell ref="O42:O43"/>
    <mergeCell ref="P42:P43"/>
    <mergeCell ref="AE25:AG25"/>
    <mergeCell ref="AE85:AG106"/>
    <mergeCell ref="M53:P53"/>
    <mergeCell ref="Q53:S53"/>
    <mergeCell ref="T53:Z53"/>
    <mergeCell ref="AC82:AD84"/>
    <mergeCell ref="AE82:AG84"/>
    <mergeCell ref="Q87:R87"/>
    <mergeCell ref="Q86:R86"/>
    <mergeCell ref="M87:N87"/>
    <mergeCell ref="M86:N86"/>
    <mergeCell ref="O85:P85"/>
    <mergeCell ref="Z82:Z83"/>
    <mergeCell ref="AA82:AA83"/>
    <mergeCell ref="W82:W83"/>
    <mergeCell ref="U82:U83"/>
    <mergeCell ref="V82:V83"/>
    <mergeCell ref="Y82:Y83"/>
    <mergeCell ref="R82:R83"/>
    <mergeCell ref="J30:Z30"/>
    <mergeCell ref="S31:S32"/>
    <mergeCell ref="O31:O32"/>
    <mergeCell ref="K72:L72"/>
    <mergeCell ref="T71:U71"/>
    <mergeCell ref="AC31:AD41"/>
    <mergeCell ref="AC42:AD53"/>
    <mergeCell ref="F42:I52"/>
    <mergeCell ref="D42:E53"/>
    <mergeCell ref="F53:I53"/>
    <mergeCell ref="M31:M32"/>
    <mergeCell ref="AA42:AB53"/>
    <mergeCell ref="M54:M55"/>
    <mergeCell ref="N54:N55"/>
    <mergeCell ref="U31:U32"/>
    <mergeCell ref="T31:T32"/>
    <mergeCell ref="Q31:Q32"/>
    <mergeCell ref="L42:L43"/>
    <mergeCell ref="D54:E67"/>
    <mergeCell ref="V31:V32"/>
    <mergeCell ref="R42:R43"/>
    <mergeCell ref="L31:L32"/>
    <mergeCell ref="K31:K32"/>
    <mergeCell ref="R31:R32"/>
    <mergeCell ref="N31:N32"/>
    <mergeCell ref="O54:O55"/>
    <mergeCell ref="J31:J32"/>
    <mergeCell ref="F31:I41"/>
    <mergeCell ref="J54:J55"/>
    <mergeCell ref="AE42:AG53"/>
    <mergeCell ref="AC54:AD67"/>
    <mergeCell ref="AE54:AG67"/>
    <mergeCell ref="P31:P32"/>
    <mergeCell ref="D31:E41"/>
    <mergeCell ref="AE75:AG79"/>
    <mergeCell ref="AE68:AG74"/>
    <mergeCell ref="C31:C41"/>
    <mergeCell ref="T74:U74"/>
    <mergeCell ref="K71:L71"/>
    <mergeCell ref="K70:L70"/>
    <mergeCell ref="Q42:Q43"/>
    <mergeCell ref="J53:L53"/>
    <mergeCell ref="M71:O71"/>
    <mergeCell ref="AC75:AD79"/>
    <mergeCell ref="C54:C67"/>
    <mergeCell ref="F67:I67"/>
    <mergeCell ref="F54:I65"/>
    <mergeCell ref="J66:L66"/>
    <mergeCell ref="M66:N67"/>
    <mergeCell ref="O66:O67"/>
    <mergeCell ref="R54:R55"/>
    <mergeCell ref="S54:S55"/>
    <mergeCell ref="J67:L67"/>
    <mergeCell ref="Y2:Z2"/>
    <mergeCell ref="T3:U3"/>
    <mergeCell ref="J11:K12"/>
    <mergeCell ref="L17:N17"/>
    <mergeCell ref="Y4:Z4"/>
    <mergeCell ref="P2:Q2"/>
    <mergeCell ref="L2:M2"/>
    <mergeCell ref="M42:M43"/>
    <mergeCell ref="J26:K26"/>
    <mergeCell ref="S26:T26"/>
    <mergeCell ref="R5:S5"/>
    <mergeCell ref="N5:O5"/>
    <mergeCell ref="Y3:Z3"/>
    <mergeCell ref="Y5:Z5"/>
    <mergeCell ref="R3:S3"/>
    <mergeCell ref="P3:Q3"/>
    <mergeCell ref="L27:L29"/>
    <mergeCell ref="D24:E24"/>
    <mergeCell ref="F23:I23"/>
    <mergeCell ref="F24:I24"/>
    <mergeCell ref="S29:T29"/>
    <mergeCell ref="S27:T27"/>
    <mergeCell ref="J22:K22"/>
    <mergeCell ref="F5:G5"/>
    <mergeCell ref="B3:E5"/>
    <mergeCell ref="B17:B19"/>
    <mergeCell ref="B20:B22"/>
    <mergeCell ref="C20:C22"/>
    <mergeCell ref="D20:E22"/>
    <mergeCell ref="L4:M4"/>
    <mergeCell ref="J7:AB7"/>
    <mergeCell ref="L5:M5"/>
    <mergeCell ref="L3:M3"/>
    <mergeCell ref="J4:K4"/>
    <mergeCell ref="J5:K5"/>
    <mergeCell ref="F25:I25"/>
    <mergeCell ref="D25:E25"/>
    <mergeCell ref="C26:C30"/>
    <mergeCell ref="B26:B30"/>
    <mergeCell ref="J3:K3"/>
    <mergeCell ref="AE8:AG8"/>
    <mergeCell ref="F8:I8"/>
    <mergeCell ref="AE23:AG23"/>
    <mergeCell ref="AE24:AG24"/>
    <mergeCell ref="AC20:AD22"/>
    <mergeCell ref="F20:I22"/>
    <mergeCell ref="J21:K21"/>
    <mergeCell ref="S28:T28"/>
    <mergeCell ref="J25:K25"/>
    <mergeCell ref="L25:N25"/>
    <mergeCell ref="L22:N22"/>
    <mergeCell ref="L20:N20"/>
    <mergeCell ref="L21:N21"/>
    <mergeCell ref="J23:AB23"/>
    <mergeCell ref="J24:AB24"/>
    <mergeCell ref="J16:K16"/>
    <mergeCell ref="J15:K15"/>
    <mergeCell ref="L18:N18"/>
    <mergeCell ref="L19:N19"/>
    <mergeCell ref="J13:K13"/>
    <mergeCell ref="J19:K19"/>
    <mergeCell ref="J10:K10"/>
    <mergeCell ref="O25:AB25"/>
    <mergeCell ref="AE26:AG30"/>
    <mergeCell ref="AE2:AF2"/>
    <mergeCell ref="AE3:AF3"/>
    <mergeCell ref="AE4:AF4"/>
    <mergeCell ref="AE5:AF5"/>
    <mergeCell ref="AC26:AD30"/>
    <mergeCell ref="J2:K2"/>
    <mergeCell ref="F2:G2"/>
    <mergeCell ref="H2:I2"/>
    <mergeCell ref="AE7:AG7"/>
    <mergeCell ref="AE13:AG16"/>
    <mergeCell ref="AE17:AG19"/>
    <mergeCell ref="AE20:AG22"/>
    <mergeCell ref="AE9:AG12"/>
    <mergeCell ref="H4:I4"/>
    <mergeCell ref="F3:G3"/>
    <mergeCell ref="O20:AB22"/>
    <mergeCell ref="N4:O4"/>
    <mergeCell ref="P4:Q4"/>
    <mergeCell ref="N3:O3"/>
    <mergeCell ref="AC7:AD7"/>
    <mergeCell ref="AC8:AD8"/>
    <mergeCell ref="AC9:AD12"/>
    <mergeCell ref="AC13:AD16"/>
    <mergeCell ref="AC17:AD19"/>
    <mergeCell ref="B1:C1"/>
    <mergeCell ref="D1:E1"/>
    <mergeCell ref="F7:I7"/>
    <mergeCell ref="F13:I16"/>
    <mergeCell ref="F9:I12"/>
    <mergeCell ref="H3:I3"/>
    <mergeCell ref="B2:E2"/>
    <mergeCell ref="F17:I19"/>
    <mergeCell ref="H5:I5"/>
    <mergeCell ref="F4:G4"/>
    <mergeCell ref="D9:E12"/>
    <mergeCell ref="B13:B16"/>
    <mergeCell ref="C13:C16"/>
    <mergeCell ref="D7:E7"/>
    <mergeCell ref="D13:E16"/>
    <mergeCell ref="B9:B12"/>
    <mergeCell ref="C9:C12"/>
    <mergeCell ref="C17:C19"/>
    <mergeCell ref="D8:E8"/>
    <mergeCell ref="D17:E19"/>
    <mergeCell ref="M99:N99"/>
    <mergeCell ref="U85:V85"/>
    <mergeCell ref="S87:T87"/>
    <mergeCell ref="S99:T99"/>
    <mergeCell ref="R68:S69"/>
    <mergeCell ref="Q82:Q83"/>
    <mergeCell ref="P82:P83"/>
    <mergeCell ref="O82:O83"/>
    <mergeCell ref="T72:U72"/>
    <mergeCell ref="T73:U73"/>
    <mergeCell ref="K68:O69"/>
    <mergeCell ref="O75:AB79"/>
    <mergeCell ref="Q85:R85"/>
    <mergeCell ref="N82:N83"/>
    <mergeCell ref="M82:M83"/>
    <mergeCell ref="O80:AB81"/>
    <mergeCell ref="S86:T86"/>
    <mergeCell ref="L82:L83"/>
    <mergeCell ref="S82:S83"/>
    <mergeCell ref="M85:N85"/>
    <mergeCell ref="O86:P86"/>
    <mergeCell ref="X85:AB106"/>
    <mergeCell ref="S102:T102"/>
    <mergeCell ref="S103:T103"/>
    <mergeCell ref="O105:P105"/>
    <mergeCell ref="U104:V104"/>
    <mergeCell ref="U105:V105"/>
    <mergeCell ref="S105:T105"/>
    <mergeCell ref="S100:T100"/>
    <mergeCell ref="S101:T101"/>
    <mergeCell ref="Q105:R105"/>
    <mergeCell ref="S85:T85"/>
    <mergeCell ref="O103:P103"/>
    <mergeCell ref="Q102:R102"/>
    <mergeCell ref="O100:P100"/>
    <mergeCell ref="U101:V101"/>
    <mergeCell ref="U102:V102"/>
    <mergeCell ref="Q99:R99"/>
    <mergeCell ref="O102:P102"/>
    <mergeCell ref="U87:V87"/>
    <mergeCell ref="U99:V99"/>
    <mergeCell ref="U86:V86"/>
    <mergeCell ref="AC80:AD81"/>
    <mergeCell ref="AC85:AD106"/>
    <mergeCell ref="U103:V103"/>
    <mergeCell ref="U106:V106"/>
    <mergeCell ref="U100:V100"/>
    <mergeCell ref="O101:P101"/>
    <mergeCell ref="Q101:R101"/>
    <mergeCell ref="Q100:R100"/>
    <mergeCell ref="K102:L102"/>
    <mergeCell ref="K103:L103"/>
    <mergeCell ref="K104:L104"/>
    <mergeCell ref="J106:T106"/>
    <mergeCell ref="M103:N103"/>
    <mergeCell ref="M104:N104"/>
    <mergeCell ref="M105:N105"/>
    <mergeCell ref="Q103:R103"/>
    <mergeCell ref="Q104:R104"/>
    <mergeCell ref="S104:T104"/>
    <mergeCell ref="M102:N102"/>
    <mergeCell ref="M100:N100"/>
    <mergeCell ref="M101:N101"/>
    <mergeCell ref="O87:P87"/>
    <mergeCell ref="O104:P104"/>
    <mergeCell ref="O99:P99"/>
    <mergeCell ref="B168:C168"/>
    <mergeCell ref="D168:I168"/>
    <mergeCell ref="B169:C170"/>
    <mergeCell ref="D169:I170"/>
    <mergeCell ref="C85:C106"/>
    <mergeCell ref="B85:B106"/>
    <mergeCell ref="D85:E106"/>
    <mergeCell ref="F85:I106"/>
    <mergeCell ref="B167:C167"/>
    <mergeCell ref="D167:I167"/>
    <mergeCell ref="B159:F165"/>
    <mergeCell ref="O107:R107"/>
    <mergeCell ref="S107:AB128"/>
    <mergeCell ref="AC107:AD128"/>
    <mergeCell ref="AE107:AG128"/>
    <mergeCell ref="B107:B128"/>
    <mergeCell ref="C107:C128"/>
    <mergeCell ref="D107:E128"/>
    <mergeCell ref="F107:I128"/>
    <mergeCell ref="AC2:AD2"/>
    <mergeCell ref="AC3:AD3"/>
    <mergeCell ref="AC4:AD4"/>
    <mergeCell ref="AC5:AD5"/>
    <mergeCell ref="K105:L105"/>
    <mergeCell ref="K85:L85"/>
    <mergeCell ref="K86:L86"/>
    <mergeCell ref="K87:L87"/>
    <mergeCell ref="K108:L108"/>
    <mergeCell ref="M108:N108"/>
    <mergeCell ref="K107:N107"/>
    <mergeCell ref="O108:P108"/>
    <mergeCell ref="Q108:R108"/>
    <mergeCell ref="K99:L99"/>
    <mergeCell ref="K100:L100"/>
    <mergeCell ref="K101:L101"/>
  </mergeCells>
  <phoneticPr fontId="1" type="noConversion"/>
  <conditionalFormatting sqref="U27:Z29">
    <cfRule type="expression" dxfId="61" priority="1" stopIfTrue="1">
      <formula>(IF($L$27="空冷","true","false"))="true"</formula>
    </cfRule>
  </conditionalFormatting>
  <hyperlinks>
    <hyperlink ref="D26:E30" location="馬達溫升實驗表格!A1" display="馬達溫升實驗表格!A1"/>
  </hyperlink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1"/>
  <sheetViews>
    <sheetView topLeftCell="B1" zoomScale="70" zoomScaleNormal="70" workbookViewId="0">
      <selection activeCell="B22" sqref="B22:P27"/>
    </sheetView>
  </sheetViews>
  <sheetFormatPr defaultRowHeight="17" x14ac:dyDescent="0.4"/>
  <cols>
    <col min="2" max="2" width="35.26953125" customWidth="1"/>
    <col min="3" max="3" width="21.36328125" customWidth="1"/>
    <col min="4" max="9" width="16.26953125" customWidth="1"/>
    <col min="10" max="10" width="26.453125" customWidth="1"/>
    <col min="11" max="14" width="22.08984375" customWidth="1"/>
    <col min="15" max="16" width="19.453125" customWidth="1"/>
    <col min="17" max="17" width="30.6328125" customWidth="1"/>
  </cols>
  <sheetData>
    <row r="1" spans="2:17" ht="17.5" thickBot="1" x14ac:dyDescent="0.45"/>
    <row r="2" spans="2:17" x14ac:dyDescent="0.4">
      <c r="B2" s="542" t="s">
        <v>79</v>
      </c>
      <c r="C2" s="543"/>
      <c r="D2" s="16" t="s">
        <v>3</v>
      </c>
      <c r="E2" s="16" t="s">
        <v>80</v>
      </c>
      <c r="F2" s="16" t="s">
        <v>81</v>
      </c>
      <c r="G2" s="16" t="s">
        <v>82</v>
      </c>
      <c r="H2" s="16" t="s">
        <v>83</v>
      </c>
      <c r="I2" s="16" t="s">
        <v>84</v>
      </c>
      <c r="J2" s="16" t="s">
        <v>85</v>
      </c>
      <c r="K2" s="16" t="s">
        <v>86</v>
      </c>
      <c r="L2" s="16" t="s">
        <v>87</v>
      </c>
      <c r="M2" s="16" t="s">
        <v>88</v>
      </c>
      <c r="N2" s="16" t="s">
        <v>89</v>
      </c>
      <c r="O2" s="17" t="s">
        <v>90</v>
      </c>
    </row>
    <row r="3" spans="2:17" ht="17.5" thickBot="1" x14ac:dyDescent="0.45">
      <c r="B3" s="544" t="str">
        <f>電機廠報告與驗收規範!B3</f>
        <v>α12L
(SIMW-132N-15-08)</v>
      </c>
      <c r="C3" s="545"/>
      <c r="D3" s="19" t="str">
        <f>電機廠報告與驗收規範!F3</f>
        <v>感應</v>
      </c>
      <c r="E3" s="19">
        <f>電機廠報告與驗收規範!H3</f>
        <v>260</v>
      </c>
      <c r="F3" s="19">
        <f>電機廠報告與驗收規範!J3</f>
        <v>1500</v>
      </c>
      <c r="G3" s="19">
        <f>電機廠報告與驗收規範!L3</f>
        <v>11</v>
      </c>
      <c r="H3" s="19">
        <f>電機廠報告與驗收規範!N3</f>
        <v>70</v>
      </c>
      <c r="I3" s="19">
        <f>電機廠報告與驗收規範!P3</f>
        <v>32.299999999999997</v>
      </c>
      <c r="J3" s="19">
        <f>電機廠報告與驗收規範!H5</f>
        <v>8000</v>
      </c>
      <c r="K3" s="19" t="e">
        <f>電機廠報告與驗收規範!#REF!</f>
        <v>#REF!</v>
      </c>
      <c r="L3" s="19">
        <f>電機廠報告與驗收規範!J5</f>
        <v>140</v>
      </c>
      <c r="M3" s="19">
        <f>電機廠報告與驗收規範!L5</f>
        <v>67.800000000000011</v>
      </c>
      <c r="N3" s="19" t="e">
        <f>電機廠報告與驗收規範!#REF!</f>
        <v>#REF!</v>
      </c>
      <c r="O3" s="20" t="e">
        <f>電機廠報告與驗收規範!#REF!</f>
        <v>#REF!</v>
      </c>
    </row>
    <row r="5" spans="2:17" ht="16.5" customHeight="1" thickBot="1" x14ac:dyDescent="0.45"/>
    <row r="6" spans="2:17" ht="16.5" customHeight="1" x14ac:dyDescent="0.4">
      <c r="B6" s="15" t="s">
        <v>273</v>
      </c>
      <c r="C6" s="16" t="s">
        <v>274</v>
      </c>
      <c r="D6" s="16" t="s">
        <v>275</v>
      </c>
      <c r="E6" s="17" t="s">
        <v>276</v>
      </c>
    </row>
    <row r="7" spans="2:17" ht="16.5" customHeight="1" x14ac:dyDescent="0.4">
      <c r="B7" s="37" t="s">
        <v>414</v>
      </c>
      <c r="C7" s="35">
        <v>0.98</v>
      </c>
      <c r="D7" s="35">
        <v>4.1840000000000002</v>
      </c>
      <c r="E7" s="39">
        <v>0.89300000000000002</v>
      </c>
    </row>
    <row r="8" spans="2:17" ht="16.5" customHeight="1" x14ac:dyDescent="0.4">
      <c r="B8" s="561" t="s">
        <v>277</v>
      </c>
      <c r="C8" s="562"/>
      <c r="D8" s="562"/>
      <c r="E8" s="563"/>
    </row>
    <row r="9" spans="2:17" ht="16.5" customHeight="1" x14ac:dyDescent="0.4">
      <c r="B9" s="564"/>
      <c r="C9" s="562"/>
      <c r="D9" s="562"/>
      <c r="E9" s="563"/>
    </row>
    <row r="10" spans="2:17" ht="16.5" customHeight="1" x14ac:dyDescent="0.4">
      <c r="B10" s="564"/>
      <c r="C10" s="562"/>
      <c r="D10" s="562"/>
      <c r="E10" s="563"/>
      <c r="Q10" s="32"/>
    </row>
    <row r="11" spans="2:17" ht="16.5" customHeight="1" thickBot="1" x14ac:dyDescent="0.45">
      <c r="B11" s="565"/>
      <c r="C11" s="566"/>
      <c r="D11" s="566"/>
      <c r="E11" s="567"/>
      <c r="Q11" s="32"/>
    </row>
    <row r="13" spans="2:17" ht="17.5" thickBot="1" x14ac:dyDescent="0.45"/>
    <row r="14" spans="2:17" ht="16.5" customHeight="1" x14ac:dyDescent="0.4">
      <c r="B14" s="15" t="s">
        <v>278</v>
      </c>
      <c r="C14" s="16" t="s">
        <v>162</v>
      </c>
      <c r="D14" s="16" t="s">
        <v>92</v>
      </c>
      <c r="E14" s="16" t="s">
        <v>163</v>
      </c>
      <c r="F14" s="16" t="s">
        <v>158</v>
      </c>
      <c r="G14" s="16" t="s">
        <v>159</v>
      </c>
      <c r="H14" s="16" t="s">
        <v>149</v>
      </c>
      <c r="I14" s="16" t="s">
        <v>150</v>
      </c>
      <c r="J14" s="16" t="s">
        <v>142</v>
      </c>
      <c r="K14" s="16" t="s">
        <v>271</v>
      </c>
      <c r="L14" s="16" t="s">
        <v>272</v>
      </c>
      <c r="M14" s="16" t="s">
        <v>267</v>
      </c>
      <c r="N14" s="3" t="s">
        <v>268</v>
      </c>
      <c r="O14" s="3" t="s">
        <v>269</v>
      </c>
      <c r="P14" s="4" t="s">
        <v>270</v>
      </c>
    </row>
    <row r="15" spans="2:17" ht="16.5" customHeight="1" x14ac:dyDescent="0.4">
      <c r="B15" s="41" t="s">
        <v>151</v>
      </c>
      <c r="C15" s="571" t="s">
        <v>414</v>
      </c>
      <c r="D15" s="256">
        <v>29.7</v>
      </c>
      <c r="E15" s="256">
        <v>36.1</v>
      </c>
      <c r="F15" s="256">
        <v>34.6</v>
      </c>
      <c r="G15" s="256">
        <v>32.1</v>
      </c>
      <c r="H15" s="256">
        <v>29.6</v>
      </c>
      <c r="I15" s="256">
        <v>28.9</v>
      </c>
      <c r="J15" s="35">
        <v>150</v>
      </c>
      <c r="K15" s="36">
        <v>4</v>
      </c>
      <c r="L15" s="35">
        <v>10</v>
      </c>
      <c r="M15" s="35">
        <v>25.6</v>
      </c>
      <c r="N15" s="35">
        <v>27.2</v>
      </c>
      <c r="O15" s="38">
        <f t="shared" ref="O15:O21" si="0">((L15*0.001/60)*($C$7*1000)*$D$7*(N15-M15))</f>
        <v>1.0934186666666652</v>
      </c>
      <c r="P15" s="40">
        <f t="shared" ref="P15:P21" si="1">O15*3412</f>
        <v>3730.7444906666615</v>
      </c>
    </row>
    <row r="16" spans="2:17" ht="16.5" customHeight="1" x14ac:dyDescent="0.4">
      <c r="B16" s="41" t="s">
        <v>152</v>
      </c>
      <c r="C16" s="572"/>
      <c r="D16" s="35">
        <v>29.9</v>
      </c>
      <c r="E16" s="35">
        <v>39.200000000000003</v>
      </c>
      <c r="F16" s="35">
        <v>67</v>
      </c>
      <c r="G16" s="35">
        <v>46</v>
      </c>
      <c r="H16" s="35">
        <v>38.200000000000003</v>
      </c>
      <c r="I16" s="35">
        <v>31.7</v>
      </c>
      <c r="J16" s="35">
        <v>150</v>
      </c>
      <c r="K16" s="36">
        <v>4</v>
      </c>
      <c r="L16" s="35">
        <v>10</v>
      </c>
      <c r="M16" s="35">
        <v>26.4</v>
      </c>
      <c r="N16" s="35">
        <v>27.9</v>
      </c>
      <c r="O16" s="38">
        <f t="shared" si="0"/>
        <v>1.02508</v>
      </c>
      <c r="P16" s="40">
        <f t="shared" si="1"/>
        <v>3497.57296</v>
      </c>
    </row>
    <row r="17" spans="2:16" x14ac:dyDescent="0.4">
      <c r="B17" s="568" t="s">
        <v>225</v>
      </c>
      <c r="C17" s="572"/>
      <c r="D17" s="35">
        <v>35</v>
      </c>
      <c r="E17" s="35">
        <v>62.3</v>
      </c>
      <c r="F17" s="35">
        <v>41.1</v>
      </c>
      <c r="G17" s="35">
        <v>40.799999999999997</v>
      </c>
      <c r="H17" s="35">
        <v>39.5</v>
      </c>
      <c r="I17" s="35">
        <v>35.200000000000003</v>
      </c>
      <c r="J17" s="35">
        <v>180</v>
      </c>
      <c r="K17" s="36">
        <v>10</v>
      </c>
      <c r="L17" s="35">
        <v>10</v>
      </c>
      <c r="M17" s="35">
        <v>25.3</v>
      </c>
      <c r="N17" s="35">
        <v>27.5</v>
      </c>
      <c r="O17" s="38">
        <f t="shared" si="0"/>
        <v>1.5034506666666663</v>
      </c>
      <c r="P17" s="40">
        <f t="shared" si="1"/>
        <v>5129.7736746666651</v>
      </c>
    </row>
    <row r="18" spans="2:16" x14ac:dyDescent="0.4">
      <c r="B18" s="569"/>
      <c r="C18" s="572"/>
      <c r="D18" s="35"/>
      <c r="E18" s="35"/>
      <c r="F18" s="35"/>
      <c r="G18" s="35"/>
      <c r="H18" s="35"/>
      <c r="I18" s="35"/>
      <c r="J18" s="35"/>
      <c r="K18" s="36">
        <v>7.5</v>
      </c>
      <c r="L18" s="35"/>
      <c r="M18" s="35"/>
      <c r="N18" s="35"/>
      <c r="O18" s="38">
        <f t="shared" si="0"/>
        <v>0</v>
      </c>
      <c r="P18" s="40">
        <f t="shared" si="1"/>
        <v>0</v>
      </c>
    </row>
    <row r="19" spans="2:16" x14ac:dyDescent="0.4">
      <c r="B19" s="570"/>
      <c r="C19" s="572"/>
      <c r="D19" s="35"/>
      <c r="E19" s="35"/>
      <c r="F19" s="35"/>
      <c r="G19" s="35"/>
      <c r="H19" s="35"/>
      <c r="I19" s="35"/>
      <c r="J19" s="35"/>
      <c r="K19" s="36">
        <v>4</v>
      </c>
      <c r="L19" s="35"/>
      <c r="M19" s="35"/>
      <c r="N19" s="35"/>
      <c r="O19" s="38">
        <f t="shared" si="0"/>
        <v>0</v>
      </c>
      <c r="P19" s="40">
        <f t="shared" si="1"/>
        <v>0</v>
      </c>
    </row>
    <row r="20" spans="2:16" x14ac:dyDescent="0.4">
      <c r="B20" s="41" t="s">
        <v>226</v>
      </c>
      <c r="C20" s="572"/>
      <c r="D20" s="35"/>
      <c r="E20" s="35"/>
      <c r="F20" s="35"/>
      <c r="G20" s="35"/>
      <c r="H20" s="35"/>
      <c r="I20" s="35"/>
      <c r="J20" s="35"/>
      <c r="K20" s="36">
        <v>4</v>
      </c>
      <c r="L20" s="35"/>
      <c r="M20" s="35"/>
      <c r="N20" s="35"/>
      <c r="O20" s="38">
        <f t="shared" ref="O20" si="2">((L20*0.001/60)*($C$7*1000)*$D$7*(N20-M20))</f>
        <v>0</v>
      </c>
      <c r="P20" s="40">
        <f t="shared" ref="P20" si="3">O20*3412</f>
        <v>0</v>
      </c>
    </row>
    <row r="21" spans="2:16" x14ac:dyDescent="0.4">
      <c r="B21" s="255" t="s">
        <v>409</v>
      </c>
      <c r="C21" s="573"/>
      <c r="D21" s="25"/>
      <c r="E21" s="25"/>
      <c r="F21" s="25"/>
      <c r="G21" s="25"/>
      <c r="H21" s="25"/>
      <c r="I21" s="25"/>
      <c r="J21" s="25"/>
      <c r="K21" s="36">
        <v>4</v>
      </c>
      <c r="L21" s="35"/>
      <c r="M21" s="35"/>
      <c r="N21" s="35"/>
      <c r="O21" s="38">
        <f t="shared" si="0"/>
        <v>0</v>
      </c>
      <c r="P21" s="40">
        <f t="shared" si="1"/>
        <v>0</v>
      </c>
    </row>
    <row r="22" spans="2:16" x14ac:dyDescent="0.4">
      <c r="B22" s="555" t="s">
        <v>285</v>
      </c>
      <c r="C22" s="556"/>
      <c r="D22" s="556"/>
      <c r="E22" s="556"/>
      <c r="F22" s="556"/>
      <c r="G22" s="556"/>
      <c r="H22" s="556"/>
      <c r="I22" s="556"/>
      <c r="J22" s="556"/>
      <c r="K22" s="556"/>
      <c r="L22" s="556"/>
      <c r="M22" s="556"/>
      <c r="N22" s="556"/>
      <c r="O22" s="556"/>
      <c r="P22" s="557"/>
    </row>
    <row r="23" spans="2:16" x14ac:dyDescent="0.4">
      <c r="B23" s="555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6"/>
      <c r="P23" s="557"/>
    </row>
    <row r="24" spans="2:16" ht="17.5" customHeight="1" x14ac:dyDescent="0.4">
      <c r="B24" s="555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6"/>
      <c r="P24" s="557"/>
    </row>
    <row r="25" spans="2:16" x14ac:dyDescent="0.4">
      <c r="B25" s="555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7"/>
    </row>
    <row r="26" spans="2:16" x14ac:dyDescent="0.4">
      <c r="B26" s="555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2:16" ht="17.5" thickBot="1" x14ac:dyDescent="0.45">
      <c r="B27" s="558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9" spans="2:16" ht="17.5" thickBot="1" x14ac:dyDescent="0.45"/>
    <row r="30" spans="2:16" ht="16.149999999999999" customHeight="1" x14ac:dyDescent="0.4">
      <c r="B30" s="552" t="s">
        <v>95</v>
      </c>
      <c r="C30" s="553"/>
      <c r="D30" s="553"/>
      <c r="E30" s="553"/>
      <c r="F30" s="553"/>
      <c r="G30" s="554"/>
      <c r="I30" s="574" t="s">
        <v>410</v>
      </c>
      <c r="J30" s="574"/>
      <c r="K30" s="574"/>
      <c r="L30" s="574"/>
      <c r="M30" s="574"/>
    </row>
    <row r="31" spans="2:16" x14ac:dyDescent="0.4">
      <c r="B31" s="546" t="s">
        <v>96</v>
      </c>
      <c r="C31" s="547"/>
      <c r="D31" s="29" t="s">
        <v>97</v>
      </c>
      <c r="E31" s="30"/>
      <c r="F31" s="30"/>
      <c r="G31" s="31"/>
      <c r="I31" s="574"/>
      <c r="J31" s="574"/>
      <c r="K31" s="574"/>
      <c r="L31" s="574"/>
      <c r="M31" s="574"/>
    </row>
    <row r="32" spans="2:16" x14ac:dyDescent="0.4">
      <c r="B32" s="548"/>
      <c r="C32" s="549"/>
      <c r="D32" s="13">
        <v>40</v>
      </c>
      <c r="E32" s="13">
        <v>45</v>
      </c>
      <c r="F32" s="13">
        <v>50</v>
      </c>
      <c r="G32" s="21">
        <v>55</v>
      </c>
      <c r="I32" s="574"/>
      <c r="J32" s="574"/>
      <c r="K32" s="574"/>
      <c r="L32" s="574"/>
      <c r="M32" s="574"/>
    </row>
    <row r="33" spans="2:13" x14ac:dyDescent="0.4">
      <c r="B33" s="550">
        <v>1000</v>
      </c>
      <c r="C33" s="551"/>
      <c r="D33" s="14">
        <v>1</v>
      </c>
      <c r="E33" s="14">
        <v>0.96</v>
      </c>
      <c r="F33" s="14">
        <v>0.92</v>
      </c>
      <c r="G33" s="22">
        <v>0.87</v>
      </c>
      <c r="I33" s="574"/>
      <c r="J33" s="574"/>
      <c r="K33" s="574"/>
      <c r="L33" s="574"/>
      <c r="M33" s="574"/>
    </row>
    <row r="34" spans="2:13" x14ac:dyDescent="0.4">
      <c r="B34" s="550">
        <v>1500</v>
      </c>
      <c r="C34" s="551"/>
      <c r="D34" s="14">
        <v>0.97</v>
      </c>
      <c r="E34" s="14">
        <v>0.93</v>
      </c>
      <c r="F34" s="14">
        <v>0.89</v>
      </c>
      <c r="G34" s="22">
        <v>0.84</v>
      </c>
      <c r="I34" s="574"/>
      <c r="J34" s="574"/>
      <c r="K34" s="574"/>
      <c r="L34" s="574"/>
      <c r="M34" s="574"/>
    </row>
    <row r="35" spans="2:13" x14ac:dyDescent="0.4">
      <c r="B35" s="550">
        <v>2000</v>
      </c>
      <c r="C35" s="551"/>
      <c r="D35" s="14">
        <v>0.94</v>
      </c>
      <c r="E35" s="14">
        <v>0.9</v>
      </c>
      <c r="F35" s="14">
        <v>0.86</v>
      </c>
      <c r="G35" s="22">
        <v>0.82</v>
      </c>
      <c r="I35" s="574"/>
      <c r="J35" s="574"/>
      <c r="K35" s="574"/>
      <c r="L35" s="574"/>
      <c r="M35" s="574"/>
    </row>
    <row r="36" spans="2:13" ht="16.149999999999999" customHeight="1" x14ac:dyDescent="0.4">
      <c r="B36" s="550">
        <v>2500</v>
      </c>
      <c r="C36" s="551"/>
      <c r="D36" s="14">
        <v>0.9</v>
      </c>
      <c r="E36" s="14">
        <v>0.86</v>
      </c>
      <c r="F36" s="14">
        <v>0.83</v>
      </c>
      <c r="G36" s="22">
        <v>0.78</v>
      </c>
      <c r="I36" s="574"/>
      <c r="J36" s="574"/>
      <c r="K36" s="574"/>
      <c r="L36" s="574"/>
      <c r="M36" s="574"/>
    </row>
    <row r="37" spans="2:13" x14ac:dyDescent="0.4">
      <c r="B37" s="550">
        <v>3000</v>
      </c>
      <c r="C37" s="551"/>
      <c r="D37" s="14">
        <v>0.86</v>
      </c>
      <c r="E37" s="14">
        <v>0.82</v>
      </c>
      <c r="F37" s="14">
        <v>0.79</v>
      </c>
      <c r="G37" s="22">
        <v>0.75</v>
      </c>
      <c r="I37" s="574"/>
      <c r="J37" s="574"/>
      <c r="K37" s="574"/>
      <c r="L37" s="574"/>
      <c r="M37" s="574"/>
    </row>
    <row r="38" spans="2:13" x14ac:dyDescent="0.4">
      <c r="B38" s="550">
        <v>3500</v>
      </c>
      <c r="C38" s="551"/>
      <c r="D38" s="14">
        <v>0.82</v>
      </c>
      <c r="E38" s="14">
        <v>0.79</v>
      </c>
      <c r="F38" s="14">
        <v>0.75</v>
      </c>
      <c r="G38" s="22">
        <v>0.71</v>
      </c>
      <c r="I38" s="574"/>
      <c r="J38" s="574"/>
      <c r="K38" s="574"/>
      <c r="L38" s="574"/>
      <c r="M38" s="574"/>
    </row>
    <row r="39" spans="2:13" ht="17.5" thickBot="1" x14ac:dyDescent="0.45">
      <c r="B39" s="575">
        <v>4000</v>
      </c>
      <c r="C39" s="576"/>
      <c r="D39" s="23">
        <v>0.77</v>
      </c>
      <c r="E39" s="23">
        <v>0.74</v>
      </c>
      <c r="F39" s="23">
        <v>0.71</v>
      </c>
      <c r="G39" s="24">
        <v>0.67</v>
      </c>
      <c r="I39" s="574"/>
      <c r="J39" s="574"/>
      <c r="K39" s="574"/>
      <c r="L39" s="574"/>
      <c r="M39" s="574"/>
    </row>
    <row r="40" spans="2:13" x14ac:dyDescent="0.4">
      <c r="I40" s="574"/>
      <c r="J40" s="574"/>
      <c r="K40" s="574"/>
      <c r="L40" s="574"/>
      <c r="M40" s="574"/>
    </row>
    <row r="41" spans="2:13" ht="17.5" thickBot="1" x14ac:dyDescent="0.45">
      <c r="I41" s="574"/>
      <c r="J41" s="574"/>
      <c r="K41" s="574"/>
      <c r="L41" s="574"/>
      <c r="M41" s="574"/>
    </row>
    <row r="42" spans="2:13" x14ac:dyDescent="0.4">
      <c r="B42" s="15"/>
      <c r="C42" s="34"/>
      <c r="D42" s="17" t="s">
        <v>93</v>
      </c>
      <c r="I42" s="574"/>
      <c r="J42" s="574"/>
      <c r="K42" s="574"/>
      <c r="L42" s="574"/>
      <c r="M42" s="574"/>
    </row>
    <row r="43" spans="2:13" ht="17.5" thickBot="1" x14ac:dyDescent="0.45">
      <c r="B43" s="544" t="s">
        <v>94</v>
      </c>
      <c r="C43" s="545"/>
      <c r="D43" s="18">
        <v>1</v>
      </c>
      <c r="I43" s="574"/>
      <c r="J43" s="574"/>
      <c r="K43" s="574"/>
      <c r="L43" s="574"/>
      <c r="M43" s="574"/>
    </row>
    <row r="44" spans="2:13" x14ac:dyDescent="0.4">
      <c r="I44" s="574"/>
      <c r="J44" s="574"/>
      <c r="K44" s="574"/>
      <c r="L44" s="574"/>
      <c r="M44" s="574"/>
    </row>
    <row r="45" spans="2:13" x14ac:dyDescent="0.4">
      <c r="I45" s="574"/>
      <c r="J45" s="574"/>
      <c r="K45" s="574"/>
      <c r="L45" s="574"/>
      <c r="M45" s="574"/>
    </row>
    <row r="46" spans="2:13" x14ac:dyDescent="0.4">
      <c r="I46" s="574"/>
      <c r="J46" s="574"/>
      <c r="K46" s="574"/>
      <c r="L46" s="574"/>
      <c r="M46" s="574"/>
    </row>
    <row r="47" spans="2:13" x14ac:dyDescent="0.4">
      <c r="I47" s="574"/>
      <c r="J47" s="574"/>
      <c r="K47" s="574"/>
      <c r="L47" s="574"/>
      <c r="M47" s="574"/>
    </row>
    <row r="48" spans="2:13" x14ac:dyDescent="0.4">
      <c r="I48" s="574"/>
      <c r="J48" s="574"/>
      <c r="K48" s="574"/>
      <c r="L48" s="574"/>
      <c r="M48" s="574"/>
    </row>
    <row r="49" spans="9:13" x14ac:dyDescent="0.4">
      <c r="I49" s="574"/>
      <c r="J49" s="574"/>
      <c r="K49" s="574"/>
      <c r="L49" s="574"/>
      <c r="M49" s="574"/>
    </row>
    <row r="50" spans="9:13" x14ac:dyDescent="0.4">
      <c r="I50" s="574"/>
      <c r="J50" s="574"/>
      <c r="K50" s="574"/>
      <c r="L50" s="574"/>
      <c r="M50" s="574"/>
    </row>
    <row r="51" spans="9:13" x14ac:dyDescent="0.4">
      <c r="I51" s="574"/>
      <c r="J51" s="574"/>
      <c r="K51" s="574"/>
      <c r="L51" s="574"/>
      <c r="M51" s="574"/>
    </row>
    <row r="52" spans="9:13" x14ac:dyDescent="0.4">
      <c r="I52" s="574"/>
      <c r="J52" s="574"/>
      <c r="K52" s="574"/>
      <c r="L52" s="574"/>
      <c r="M52" s="574"/>
    </row>
    <row r="53" spans="9:13" x14ac:dyDescent="0.4">
      <c r="I53" s="574"/>
      <c r="J53" s="574"/>
      <c r="K53" s="574"/>
      <c r="L53" s="574"/>
      <c r="M53" s="574"/>
    </row>
    <row r="54" spans="9:13" x14ac:dyDescent="0.4">
      <c r="I54" s="574"/>
      <c r="J54" s="574"/>
      <c r="K54" s="574"/>
      <c r="L54" s="574"/>
      <c r="M54" s="574"/>
    </row>
    <row r="55" spans="9:13" x14ac:dyDescent="0.4">
      <c r="I55" s="574"/>
      <c r="J55" s="574"/>
      <c r="K55" s="574"/>
      <c r="L55" s="574"/>
      <c r="M55" s="574"/>
    </row>
    <row r="56" spans="9:13" x14ac:dyDescent="0.4">
      <c r="I56" s="574"/>
      <c r="J56" s="574"/>
      <c r="K56" s="574"/>
      <c r="L56" s="574"/>
      <c r="M56" s="574"/>
    </row>
    <row r="57" spans="9:13" x14ac:dyDescent="0.4">
      <c r="I57" s="574"/>
      <c r="J57" s="574"/>
      <c r="K57" s="574"/>
      <c r="L57" s="574"/>
      <c r="M57" s="574"/>
    </row>
    <row r="58" spans="9:13" x14ac:dyDescent="0.4">
      <c r="I58" s="574"/>
      <c r="J58" s="574"/>
      <c r="K58" s="574"/>
      <c r="L58" s="574"/>
      <c r="M58" s="574"/>
    </row>
    <row r="59" spans="9:13" x14ac:dyDescent="0.4">
      <c r="I59" s="574"/>
      <c r="J59" s="574"/>
      <c r="K59" s="574"/>
      <c r="L59" s="574"/>
      <c r="M59" s="574"/>
    </row>
    <row r="60" spans="9:13" x14ac:dyDescent="0.4">
      <c r="I60" s="574"/>
      <c r="J60" s="574"/>
      <c r="K60" s="574"/>
      <c r="L60" s="574"/>
      <c r="M60" s="574"/>
    </row>
    <row r="61" spans="9:13" x14ac:dyDescent="0.4">
      <c r="I61" s="574"/>
      <c r="J61" s="574"/>
      <c r="K61" s="574"/>
      <c r="L61" s="574"/>
      <c r="M61" s="574"/>
    </row>
    <row r="62" spans="9:13" x14ac:dyDescent="0.4">
      <c r="I62" s="26"/>
      <c r="J62" s="26"/>
      <c r="K62" s="26"/>
    </row>
    <row r="75" spans="15:16" x14ac:dyDescent="0.4">
      <c r="O75" s="26"/>
      <c r="P75" s="26"/>
    </row>
    <row r="76" spans="15:16" x14ac:dyDescent="0.4">
      <c r="O76" s="26"/>
      <c r="P76" s="26"/>
    </row>
    <row r="77" spans="15:16" x14ac:dyDescent="0.4">
      <c r="O77" s="26"/>
      <c r="P77" s="26"/>
    </row>
    <row r="78" spans="15:16" x14ac:dyDescent="0.4">
      <c r="O78" s="26"/>
      <c r="P78" s="26"/>
    </row>
    <row r="79" spans="15:16" x14ac:dyDescent="0.4">
      <c r="O79" s="26"/>
      <c r="P79" s="26"/>
    </row>
    <row r="80" spans="15:16" x14ac:dyDescent="0.4">
      <c r="O80" s="26"/>
      <c r="P80" s="26"/>
    </row>
    <row r="81" spans="15:16" x14ac:dyDescent="0.4">
      <c r="O81" s="26"/>
      <c r="P81" s="26"/>
    </row>
  </sheetData>
  <sheetProtection algorithmName="SHA-512" hashValue="K65jeoQErUzAUbTusgfpIT4j8iP6fveNyvwaUEmfsX+NGB059IWxvFPiR8BLJ08TJ6cTFoGOc4Nz2017b80O2g==" saltValue="tQNLPPF/vKz6873be+0QWw==" spinCount="100000" sheet="1" objects="1" scenarios="1"/>
  <protectedRanges>
    <protectedRange sqref="B7:E7 C15:J21 L15:N21" name="範圍1"/>
  </protectedRanges>
  <mergeCells count="18">
    <mergeCell ref="B35:C35"/>
    <mergeCell ref="B36:C36"/>
    <mergeCell ref="I30:M61"/>
    <mergeCell ref="B37:C37"/>
    <mergeCell ref="B38:C38"/>
    <mergeCell ref="B39:C39"/>
    <mergeCell ref="B43:C43"/>
    <mergeCell ref="B34:C34"/>
    <mergeCell ref="B2:C2"/>
    <mergeCell ref="B3:C3"/>
    <mergeCell ref="B31:C31"/>
    <mergeCell ref="B32:C32"/>
    <mergeCell ref="B33:C33"/>
    <mergeCell ref="B30:G30"/>
    <mergeCell ref="B22:P27"/>
    <mergeCell ref="B8:E11"/>
    <mergeCell ref="B17:B19"/>
    <mergeCell ref="C15:C21"/>
  </mergeCells>
  <phoneticPr fontId="1" type="noConversion"/>
  <conditionalFormatting sqref="B7:E7">
    <cfRule type="expression" dxfId="60" priority="5">
      <formula>(IF($C$15="空冷","true","false"))="true"</formula>
    </cfRule>
  </conditionalFormatting>
  <conditionalFormatting sqref="D18:J20">
    <cfRule type="expression" dxfId="59" priority="3">
      <formula>(IF($C$15="空冷","true","false"))="true"</formula>
    </cfRule>
  </conditionalFormatting>
  <conditionalFormatting sqref="K15:K21 O15:P21">
    <cfRule type="expression" dxfId="58" priority="8">
      <formula>(IF($C$15="空冷","true","false"))="true"</formula>
    </cfRule>
  </conditionalFormatting>
  <conditionalFormatting sqref="L15:N21">
    <cfRule type="expression" dxfId="57" priority="11">
      <formula>(IF($C$15="空冷","true","false"))="true"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9"/>
  <sheetViews>
    <sheetView topLeftCell="A3" workbookViewId="0">
      <selection activeCell="D29" sqref="D29"/>
    </sheetView>
  </sheetViews>
  <sheetFormatPr defaultRowHeight="17" x14ac:dyDescent="0.4"/>
  <cols>
    <col min="2" max="2" width="0" hidden="1" customWidth="1"/>
    <col min="4" max="4" width="22.7265625" bestFit="1" customWidth="1"/>
    <col min="5" max="5" width="11.6328125" bestFit="1" customWidth="1"/>
    <col min="6" max="6" width="9.90625" bestFit="1" customWidth="1"/>
    <col min="7" max="7" width="24" bestFit="1" customWidth="1"/>
    <col min="12" max="12" width="12.90625" bestFit="1" customWidth="1"/>
  </cols>
  <sheetData>
    <row r="1" spans="2:7" x14ac:dyDescent="0.4">
      <c r="C1" t="s">
        <v>209</v>
      </c>
      <c r="D1">
        <v>1.1499999999999999</v>
      </c>
    </row>
    <row r="2" spans="2:7" ht="17.5" thickBot="1" x14ac:dyDescent="0.45">
      <c r="C2" s="577" t="s">
        <v>35</v>
      </c>
      <c r="D2" s="577"/>
      <c r="E2" s="577"/>
      <c r="F2" s="577"/>
    </row>
    <row r="3" spans="2:7" x14ac:dyDescent="0.4">
      <c r="B3" s="7"/>
      <c r="C3" s="2"/>
      <c r="D3" s="8" t="s">
        <v>34</v>
      </c>
      <c r="E3" s="3"/>
      <c r="F3" s="4"/>
    </row>
    <row r="4" spans="2:7" x14ac:dyDescent="0.4">
      <c r="B4" s="12" t="s">
        <v>118</v>
      </c>
      <c r="C4" s="5" t="s">
        <v>109</v>
      </c>
      <c r="D4" s="1" t="s">
        <v>1</v>
      </c>
      <c r="E4" s="1" t="s">
        <v>2</v>
      </c>
      <c r="F4" s="6" t="s">
        <v>0</v>
      </c>
    </row>
    <row r="5" spans="2:7" x14ac:dyDescent="0.4">
      <c r="B5" s="12">
        <f>HEX2DEC(C5)</f>
        <v>1792</v>
      </c>
      <c r="C5" s="11">
        <v>700</v>
      </c>
      <c r="D5" s="1" t="s">
        <v>3</v>
      </c>
      <c r="E5" s="33">
        <v>2</v>
      </c>
      <c r="F5" s="9" t="s">
        <v>4</v>
      </c>
    </row>
    <row r="6" spans="2:7" x14ac:dyDescent="0.4">
      <c r="B6" s="12">
        <f t="shared" ref="B6:B21" si="0">HEX2DEC(C6)</f>
        <v>1793</v>
      </c>
      <c r="C6" s="11">
        <v>701</v>
      </c>
      <c r="D6" s="1" t="s">
        <v>5</v>
      </c>
      <c r="E6" s="33">
        <f>電機廠報告與驗收規範!P5</f>
        <v>4</v>
      </c>
      <c r="F6" s="9" t="s">
        <v>4</v>
      </c>
    </row>
    <row r="7" spans="2:7" x14ac:dyDescent="0.4">
      <c r="B7" s="12">
        <f t="shared" si="0"/>
        <v>1800</v>
      </c>
      <c r="C7" s="11">
        <v>708</v>
      </c>
      <c r="D7" s="1" t="s">
        <v>6</v>
      </c>
      <c r="E7" s="33">
        <f>電機廠報告與驗收規範!N3*10</f>
        <v>700</v>
      </c>
      <c r="F7" s="9" t="s">
        <v>7</v>
      </c>
    </row>
    <row r="8" spans="2:7" x14ac:dyDescent="0.4">
      <c r="B8" s="12">
        <f t="shared" si="0"/>
        <v>1802</v>
      </c>
      <c r="C8" s="11" t="s">
        <v>110</v>
      </c>
      <c r="D8" s="1" t="s">
        <v>8</v>
      </c>
      <c r="E8" s="33">
        <f>MAX(電機廠報告與驗收規範!J5/電機廠報告與驗收規範!N3,電機廠報告與驗收規範!L5/電機廠報告與驗收規範!P3)*1000</f>
        <v>2099.0712074303415</v>
      </c>
      <c r="F8" s="9" t="s">
        <v>9</v>
      </c>
    </row>
    <row r="9" spans="2:7" x14ac:dyDescent="0.4">
      <c r="B9" s="12">
        <f t="shared" si="0"/>
        <v>1804</v>
      </c>
      <c r="C9" s="11" t="s">
        <v>111</v>
      </c>
      <c r="D9" s="1" t="s">
        <v>10</v>
      </c>
      <c r="E9" s="33">
        <f>電機廠報告與驗收規範!J3</f>
        <v>1500</v>
      </c>
      <c r="F9" s="9" t="s">
        <v>11</v>
      </c>
    </row>
    <row r="10" spans="2:7" x14ac:dyDescent="0.4">
      <c r="B10" s="12">
        <f t="shared" si="0"/>
        <v>1806</v>
      </c>
      <c r="C10" s="11" t="s">
        <v>112</v>
      </c>
      <c r="D10" s="1" t="s">
        <v>12</v>
      </c>
      <c r="E10" s="33">
        <f>電機廠報告與驗收規範!H5</f>
        <v>8000</v>
      </c>
      <c r="F10" s="9" t="s">
        <v>11</v>
      </c>
    </row>
    <row r="11" spans="2:7" x14ac:dyDescent="0.4">
      <c r="B11" s="12">
        <f t="shared" si="0"/>
        <v>1808</v>
      </c>
      <c r="C11" s="11">
        <v>710</v>
      </c>
      <c r="D11" s="1" t="s">
        <v>13</v>
      </c>
      <c r="E11" s="33">
        <f>電機廠報告與驗收規範!P3*10</f>
        <v>323</v>
      </c>
      <c r="F11" s="9" t="s">
        <v>14</v>
      </c>
    </row>
    <row r="12" spans="2:7" x14ac:dyDescent="0.4">
      <c r="B12" s="12">
        <f t="shared" si="0"/>
        <v>1810</v>
      </c>
      <c r="C12" s="11">
        <v>712</v>
      </c>
      <c r="D12" s="1" t="s">
        <v>15</v>
      </c>
      <c r="E12" s="33">
        <f>電機廠報告與驗收規範!H3*10</f>
        <v>2600</v>
      </c>
      <c r="F12" s="9" t="s">
        <v>16</v>
      </c>
    </row>
    <row r="13" spans="2:7" x14ac:dyDescent="0.4">
      <c r="B13" s="12">
        <f t="shared" si="0"/>
        <v>1812</v>
      </c>
      <c r="C13" s="11">
        <v>714</v>
      </c>
      <c r="D13" s="1" t="s">
        <v>17</v>
      </c>
      <c r="E13" s="33">
        <f>(D25+D26)*1000</f>
        <v>31959.548727750389</v>
      </c>
      <c r="F13" s="9" t="s">
        <v>18</v>
      </c>
      <c r="G13" t="s">
        <v>133</v>
      </c>
    </row>
    <row r="14" spans="2:7" x14ac:dyDescent="0.4">
      <c r="B14" s="12">
        <f t="shared" si="0"/>
        <v>1814</v>
      </c>
      <c r="C14" s="11">
        <v>716</v>
      </c>
      <c r="D14" s="1" t="s">
        <v>19</v>
      </c>
      <c r="E14" s="33">
        <f>(D25+D26)*1000</f>
        <v>31959.548727750389</v>
      </c>
      <c r="F14" s="9" t="s">
        <v>18</v>
      </c>
      <c r="G14" t="s">
        <v>133</v>
      </c>
    </row>
    <row r="15" spans="2:7" x14ac:dyDescent="0.4">
      <c r="B15" s="12">
        <f t="shared" si="0"/>
        <v>1816</v>
      </c>
      <c r="C15" s="11">
        <v>718</v>
      </c>
      <c r="D15" s="1" t="s">
        <v>20</v>
      </c>
      <c r="E15" s="33">
        <f>D28*1000</f>
        <v>135</v>
      </c>
      <c r="F15" s="9" t="s">
        <v>21</v>
      </c>
      <c r="G15" t="s">
        <v>134</v>
      </c>
    </row>
    <row r="16" spans="2:7" x14ac:dyDescent="0.4">
      <c r="B16" s="12">
        <f t="shared" si="0"/>
        <v>1818</v>
      </c>
      <c r="C16" s="11" t="s">
        <v>113</v>
      </c>
      <c r="D16" s="1" t="s">
        <v>22</v>
      </c>
      <c r="E16" s="33">
        <f>(1-D25^2/(D25+D26)/(D25+D27))*1000</f>
        <v>64.785174308542921</v>
      </c>
      <c r="F16" s="9" t="s">
        <v>9</v>
      </c>
      <c r="G16" t="s">
        <v>32</v>
      </c>
    </row>
    <row r="17" spans="2:7" x14ac:dyDescent="0.4">
      <c r="B17" s="12">
        <f t="shared" si="0"/>
        <v>1820</v>
      </c>
      <c r="C17" s="11" t="s">
        <v>114</v>
      </c>
      <c r="D17" s="1" t="s">
        <v>23</v>
      </c>
      <c r="E17" s="33">
        <f>SQRT(  (AVERAGE(電機廠報告與驗收規範!Q34:S34) / SQRT(3))^2 + AVERAGE(電機廠報告與驗收規範!T34:'電機廠報告與驗收規範'!V34)^2*(電機廠報告與驗收規範!R70^2+電機廠報告與驗收規範!R72^2) - 2 * AVERAGE(電機廠報告與驗收規範!Q34:S34) / SQRT(3) * AVERAGE(電機廠報告與驗收規範!T34:'電機廠報告與驗收規範'!V34)*SQRT(電機廠報告與驗收規範!R70^2+電機廠報告與驗收規範!R72^2) * COS( PI()/2 - ACOS(電機廠報告與驗收規範!Y34) - ATAN(電機廠報告與驗收規範!R70/電機廠報告與驗收規範!R72) ) ) /      電機廠報告與驗收規範!R74/(E11/10)*1000</f>
        <v>432.5042967128627</v>
      </c>
      <c r="F17" s="9" t="s">
        <v>9</v>
      </c>
      <c r="G17" t="s">
        <v>33</v>
      </c>
    </row>
    <row r="18" spans="2:7" x14ac:dyDescent="0.4">
      <c r="B18" s="12">
        <f t="shared" si="0"/>
        <v>1822</v>
      </c>
      <c r="C18" s="11" t="s">
        <v>115</v>
      </c>
      <c r="D18" s="1" t="s">
        <v>24</v>
      </c>
      <c r="E18" s="33">
        <f>(電機廠報告與驗收規範!L76^2-(E11*0.1*E17*0.001)^2)^(1/2)/(E11*0.1*E17*0.001)/(電機廠報告與驗收規範!L79/100*電機廠報告與驗收規範!L77*2*PI()/60)/(電機廠報告與驗收規範!P5/2)*10000</f>
        <v>2679.9135645587348</v>
      </c>
      <c r="F18" s="9" t="s">
        <v>25</v>
      </c>
      <c r="G18" t="s">
        <v>194</v>
      </c>
    </row>
    <row r="19" spans="2:7" x14ac:dyDescent="0.4">
      <c r="B19" s="12">
        <f t="shared" si="0"/>
        <v>1824</v>
      </c>
      <c r="C19" s="11">
        <v>720</v>
      </c>
      <c r="D19" s="1" t="s">
        <v>26</v>
      </c>
      <c r="E19" s="33">
        <f>電機廠報告與驗收規範!F5*10000000</f>
        <v>769700</v>
      </c>
      <c r="F19" s="9" t="s">
        <v>27</v>
      </c>
    </row>
    <row r="20" spans="2:7" x14ac:dyDescent="0.4">
      <c r="B20" s="12">
        <f t="shared" si="0"/>
        <v>1832</v>
      </c>
      <c r="C20" s="11">
        <v>728</v>
      </c>
      <c r="D20" s="1" t="s">
        <v>28</v>
      </c>
      <c r="E20" s="33">
        <f>E16*E13/E15*0.1</f>
        <v>1533.7073593701334</v>
      </c>
      <c r="F20" s="6" t="s">
        <v>29</v>
      </c>
      <c r="G20" t="s">
        <v>140</v>
      </c>
    </row>
    <row r="21" spans="2:7" x14ac:dyDescent="0.4">
      <c r="B21" s="12">
        <f t="shared" si="0"/>
        <v>1834</v>
      </c>
      <c r="C21" s="11" t="s">
        <v>116</v>
      </c>
      <c r="D21" s="1" t="s">
        <v>31</v>
      </c>
      <c r="E21" s="33">
        <f>電機廠報告與驗收規範!R5</f>
        <v>1800</v>
      </c>
      <c r="F21" s="6" t="s">
        <v>30</v>
      </c>
    </row>
    <row r="22" spans="2:7" x14ac:dyDescent="0.4">
      <c r="C22" s="240">
        <v>730</v>
      </c>
      <c r="D22" s="1" t="s">
        <v>398</v>
      </c>
      <c r="E22" s="245" t="e">
        <f>IF(電機廠報告與驗收規範!N84="",1000,1000*MAX(電機廠報告與驗收規範!V5/電機廠報告與驗收規範!N3,電機廠報告與驗收規範!W5/電機廠報告與驗收規範!P3))</f>
        <v>#VALUE!</v>
      </c>
      <c r="F22" s="9" t="s">
        <v>9</v>
      </c>
    </row>
    <row r="23" spans="2:7" ht="17.5" thickBot="1" x14ac:dyDescent="0.45">
      <c r="C23" s="241">
        <v>731</v>
      </c>
      <c r="D23" s="242" t="s">
        <v>399</v>
      </c>
      <c r="E23" s="243">
        <f>IF(電機廠報告與驗收規範!N84="",0,1)</f>
        <v>1</v>
      </c>
      <c r="F23" s="244" t="s">
        <v>4</v>
      </c>
    </row>
    <row r="25" spans="2:7" x14ac:dyDescent="0.4">
      <c r="C25" t="s">
        <v>130</v>
      </c>
      <c r="D25">
        <f>電機廠報告與驗收規範!R74/(2*PI()*電機廠報告與驗收規範!R3) *1000</f>
        <v>30.906962832272725</v>
      </c>
      <c r="E25" t="s">
        <v>138</v>
      </c>
    </row>
    <row r="26" spans="2:7" x14ac:dyDescent="0.4">
      <c r="C26" t="s">
        <v>131</v>
      </c>
      <c r="D26">
        <f>電機廠報告與驗收規範!R72/(2*PI()*電機廠報告與驗收規範!R3) *1000</f>
        <v>1.0525858954776615</v>
      </c>
      <c r="E26" t="s">
        <v>138</v>
      </c>
    </row>
    <row r="27" spans="2:7" x14ac:dyDescent="0.4">
      <c r="C27" t="s">
        <v>132</v>
      </c>
      <c r="D27">
        <f>電機廠報告與驗收規範!R73/(2*PI()*電機廠報告與驗收規範!R3) *1000</f>
        <v>1.0525858954776615</v>
      </c>
      <c r="E27" t="s">
        <v>138</v>
      </c>
    </row>
    <row r="28" spans="2:7" x14ac:dyDescent="0.4">
      <c r="C28" t="s">
        <v>136</v>
      </c>
      <c r="D28">
        <f>電機廠報告與驗收規範!R70</f>
        <v>0.13500000000000001</v>
      </c>
      <c r="E28" t="s">
        <v>139</v>
      </c>
    </row>
    <row r="29" spans="2:7" x14ac:dyDescent="0.4">
      <c r="C29" t="s">
        <v>137</v>
      </c>
      <c r="D29">
        <f>電機廠報告與驗收規範!R71</f>
        <v>0.16930000000000001</v>
      </c>
      <c r="E29" t="s">
        <v>139</v>
      </c>
    </row>
  </sheetData>
  <sheetProtection algorithmName="SHA-512" hashValue="2iY4eGOUuj4dMywwIcSVwxi+2zTBYCHKoAhZ5V/rERj2z7KhrBdGcsUYUEqu/H/88mDiWeSIirLSk3dOKpdbgA==" saltValue="WirmkhkJ+tNvNWOvGHdyJg==" spinCount="100000" sheet="1" objects="1" scenarios="1"/>
  <mergeCells count="1">
    <mergeCell ref="C2:F2"/>
  </mergeCells>
  <phoneticPr fontId="1" type="noConversion"/>
  <pageMargins left="0.7" right="0.7" top="0.75" bottom="0.75" header="0.3" footer="0.3"/>
  <pageSetup orientation="portrait" horizontalDpi="300" verticalDpi="300" r:id="rId1"/>
  <ignoredErrors>
    <ignoredError sqref="F16:F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83"/>
  <sheetViews>
    <sheetView showGridLines="0" zoomScale="70" zoomScaleNormal="70" workbookViewId="0">
      <selection activeCell="I20" sqref="I20"/>
    </sheetView>
  </sheetViews>
  <sheetFormatPr defaultColWidth="9" defaultRowHeight="17" x14ac:dyDescent="0.4"/>
  <cols>
    <col min="1" max="1" width="30.7265625" style="27" customWidth="1"/>
    <col min="2" max="2" width="28.26953125" style="27" customWidth="1"/>
    <col min="3" max="3" width="15.36328125" style="27" customWidth="1"/>
    <col min="4" max="4" width="15.26953125" style="27" customWidth="1"/>
    <col min="5" max="5" width="11.6328125" style="27" customWidth="1"/>
    <col min="6" max="6" width="16.36328125" style="27" customWidth="1"/>
    <col min="7" max="7" width="14.26953125" style="27" customWidth="1"/>
    <col min="8" max="8" width="10.7265625" style="27" customWidth="1"/>
    <col min="9" max="9" width="16.08984375" style="27" customWidth="1"/>
    <col min="10" max="10" width="9" style="27"/>
    <col min="11" max="11" width="18.26953125" style="27" customWidth="1"/>
    <col min="12" max="12" width="16.7265625" style="27" customWidth="1"/>
    <col min="13" max="13" width="15.6328125" style="27" customWidth="1"/>
    <col min="14" max="15" width="9" style="27"/>
    <col min="16" max="16" width="12" style="27" customWidth="1"/>
    <col min="17" max="17" width="13.26953125" style="27" customWidth="1"/>
    <col min="18" max="27" width="9" style="27"/>
    <col min="28" max="28" width="6.6328125" style="27" customWidth="1"/>
    <col min="29" max="16384" width="9" style="27"/>
  </cols>
  <sheetData>
    <row r="2" spans="1:28" ht="17.5" thickBot="1" x14ac:dyDescent="0.45"/>
    <row r="3" spans="1:28" ht="18" customHeight="1" x14ac:dyDescent="0.4">
      <c r="A3" s="578" t="s">
        <v>408</v>
      </c>
      <c r="B3" s="578"/>
      <c r="C3" s="202"/>
      <c r="D3" s="203"/>
      <c r="E3" s="203"/>
      <c r="F3" s="203"/>
      <c r="G3" s="203"/>
      <c r="H3" s="203"/>
      <c r="I3" s="203"/>
      <c r="J3" s="204"/>
      <c r="K3" s="202"/>
      <c r="L3" s="203"/>
      <c r="M3" s="203"/>
      <c r="N3" s="203"/>
      <c r="O3" s="203"/>
      <c r="P3" s="203"/>
      <c r="Q3" s="211" t="s">
        <v>222</v>
      </c>
      <c r="R3" s="212"/>
    </row>
    <row r="4" spans="1:28" x14ac:dyDescent="0.4">
      <c r="A4" s="578"/>
      <c r="B4" s="578"/>
      <c r="C4" s="205" t="s">
        <v>221</v>
      </c>
      <c r="J4" s="206"/>
      <c r="K4" s="205" t="s">
        <v>234</v>
      </c>
      <c r="Q4" s="213"/>
      <c r="R4" s="214"/>
      <c r="S4" s="622"/>
      <c r="T4" s="622"/>
      <c r="AA4" s="622"/>
      <c r="AB4" s="622"/>
    </row>
    <row r="5" spans="1:28" x14ac:dyDescent="0.4">
      <c r="A5" s="578"/>
      <c r="B5" s="578"/>
      <c r="C5" s="207"/>
      <c r="J5" s="206"/>
      <c r="K5" s="207"/>
      <c r="Q5" s="213"/>
      <c r="R5" s="214"/>
    </row>
    <row r="6" spans="1:28" x14ac:dyDescent="0.4">
      <c r="A6" s="578"/>
      <c r="B6" s="578"/>
      <c r="C6" s="207"/>
      <c r="J6" s="206"/>
      <c r="K6" s="207"/>
      <c r="Q6" s="213"/>
      <c r="R6" s="214"/>
    </row>
    <row r="7" spans="1:28" ht="18" customHeight="1" x14ac:dyDescent="0.4">
      <c r="A7" s="578"/>
      <c r="B7" s="578"/>
      <c r="C7" s="207"/>
      <c r="J7" s="206"/>
      <c r="K7" s="207"/>
      <c r="Q7" s="213"/>
      <c r="R7" s="214"/>
    </row>
    <row r="8" spans="1:28" x14ac:dyDescent="0.4">
      <c r="A8" s="578"/>
      <c r="B8" s="578"/>
      <c r="C8" s="207"/>
      <c r="J8" s="206"/>
      <c r="K8" s="207"/>
      <c r="Q8" s="213"/>
      <c r="R8" s="214"/>
    </row>
    <row r="9" spans="1:28" x14ac:dyDescent="0.4">
      <c r="A9" s="578"/>
      <c r="B9" s="578"/>
      <c r="C9" s="207"/>
      <c r="J9" s="206"/>
      <c r="K9" s="207"/>
      <c r="Q9" s="213"/>
      <c r="R9" s="214"/>
    </row>
    <row r="10" spans="1:28" x14ac:dyDescent="0.4">
      <c r="A10" s="578"/>
      <c r="B10" s="578"/>
      <c r="C10" s="207"/>
      <c r="J10" s="206"/>
      <c r="K10" s="207"/>
      <c r="Q10" s="213"/>
      <c r="R10" s="214"/>
    </row>
    <row r="11" spans="1:28" x14ac:dyDescent="0.4">
      <c r="A11" s="578"/>
      <c r="B11" s="578"/>
      <c r="C11" s="207"/>
      <c r="J11" s="206"/>
      <c r="K11" s="207"/>
      <c r="Q11" s="213"/>
      <c r="R11" s="214"/>
    </row>
    <row r="12" spans="1:28" x14ac:dyDescent="0.4">
      <c r="A12" s="578"/>
      <c r="B12" s="578"/>
      <c r="C12" s="207"/>
      <c r="J12" s="206"/>
      <c r="K12" s="207"/>
      <c r="Q12" s="213"/>
      <c r="R12" s="214"/>
    </row>
    <row r="13" spans="1:28" x14ac:dyDescent="0.4">
      <c r="A13" s="578"/>
      <c r="B13" s="578"/>
      <c r="C13" s="207"/>
      <c r="J13" s="206"/>
      <c r="K13" s="207"/>
      <c r="Q13" s="213"/>
      <c r="R13" s="214"/>
    </row>
    <row r="14" spans="1:28" ht="16.5" customHeight="1" x14ac:dyDescent="0.4">
      <c r="A14" s="578"/>
      <c r="B14" s="578"/>
      <c r="C14" s="207"/>
      <c r="J14" s="206"/>
      <c r="K14" s="207"/>
      <c r="Q14" s="213"/>
      <c r="R14" s="214"/>
    </row>
    <row r="15" spans="1:28" ht="15.75" customHeight="1" x14ac:dyDescent="0.4">
      <c r="A15" s="578"/>
      <c r="B15" s="578"/>
      <c r="C15" s="207"/>
      <c r="J15" s="206"/>
      <c r="K15" s="207"/>
      <c r="Q15" s="213"/>
      <c r="R15" s="214"/>
    </row>
    <row r="16" spans="1:28" x14ac:dyDescent="0.4">
      <c r="A16" s="578"/>
      <c r="B16" s="578"/>
      <c r="C16" s="207"/>
      <c r="J16" s="206"/>
      <c r="K16" s="207"/>
      <c r="Q16" s="213"/>
      <c r="R16" s="214"/>
    </row>
    <row r="17" spans="1:19" x14ac:dyDescent="0.4">
      <c r="A17" s="578"/>
      <c r="B17" s="578"/>
      <c r="C17" s="207"/>
      <c r="J17" s="206"/>
      <c r="K17" s="207"/>
      <c r="Q17" s="213"/>
      <c r="R17" s="214"/>
    </row>
    <row r="18" spans="1:19" x14ac:dyDescent="0.4">
      <c r="A18" s="578"/>
      <c r="B18" s="578"/>
      <c r="C18" s="207"/>
      <c r="J18" s="206"/>
      <c r="K18" s="207"/>
      <c r="Q18" s="213"/>
      <c r="R18" s="214"/>
    </row>
    <row r="19" spans="1:19" x14ac:dyDescent="0.4">
      <c r="A19" s="578"/>
      <c r="B19" s="578"/>
      <c r="C19" s="207"/>
      <c r="J19" s="206"/>
      <c r="K19" s="207"/>
      <c r="Q19" s="213"/>
      <c r="R19" s="214"/>
    </row>
    <row r="20" spans="1:19" x14ac:dyDescent="0.4">
      <c r="A20" s="578"/>
      <c r="B20" s="578"/>
      <c r="C20" s="207"/>
      <c r="J20" s="206"/>
      <c r="K20" s="207"/>
      <c r="Q20" s="213"/>
      <c r="R20" s="214"/>
    </row>
    <row r="21" spans="1:19" x14ac:dyDescent="0.4">
      <c r="A21" s="578"/>
      <c r="B21" s="578"/>
      <c r="C21" s="207"/>
      <c r="J21" s="206"/>
      <c r="K21" s="207"/>
      <c r="Q21" s="213"/>
      <c r="R21" s="214"/>
    </row>
    <row r="22" spans="1:19" x14ac:dyDescent="0.4">
      <c r="A22" s="578"/>
      <c r="B22" s="578"/>
      <c r="C22" s="207"/>
      <c r="J22" s="206"/>
      <c r="K22" s="207"/>
      <c r="Q22" s="213"/>
      <c r="R22" s="214"/>
    </row>
    <row r="23" spans="1:19" x14ac:dyDescent="0.4">
      <c r="A23" s="578"/>
      <c r="B23" s="578"/>
      <c r="C23" s="207"/>
      <c r="J23" s="206"/>
      <c r="K23" s="207"/>
      <c r="Q23" s="213"/>
      <c r="R23" s="214"/>
    </row>
    <row r="24" spans="1:19" ht="18" customHeight="1" thickBot="1" x14ac:dyDescent="0.45">
      <c r="A24" s="578"/>
      <c r="B24" s="578"/>
      <c r="C24" s="207"/>
      <c r="J24" s="206"/>
      <c r="K24" s="207"/>
      <c r="N24" s="213"/>
      <c r="O24" s="213"/>
      <c r="P24" s="213"/>
      <c r="R24" s="206"/>
    </row>
    <row r="25" spans="1:19" ht="15.75" customHeight="1" x14ac:dyDescent="0.4">
      <c r="A25" s="578"/>
      <c r="B25" s="578"/>
      <c r="C25" s="202"/>
      <c r="D25" s="203"/>
      <c r="E25" s="203"/>
      <c r="F25" s="203"/>
      <c r="G25" s="203"/>
      <c r="H25" s="203"/>
      <c r="I25" s="203"/>
      <c r="J25" s="203"/>
      <c r="K25" s="215"/>
      <c r="L25" s="203"/>
      <c r="M25" s="203"/>
      <c r="N25" s="223"/>
      <c r="O25" s="223"/>
      <c r="P25" s="223"/>
      <c r="Q25" s="203"/>
      <c r="R25" s="204"/>
    </row>
    <row r="26" spans="1:19" ht="15.75" customHeight="1" x14ac:dyDescent="0.4">
      <c r="A26" s="578"/>
      <c r="B26" s="578"/>
      <c r="C26" s="205" t="s">
        <v>369</v>
      </c>
      <c r="E26"/>
      <c r="K26" s="252" t="s">
        <v>369</v>
      </c>
      <c r="N26" s="213"/>
      <c r="O26" s="213"/>
      <c r="P26" s="213"/>
      <c r="R26" s="206"/>
    </row>
    <row r="27" spans="1:19" ht="16.5" customHeight="1" x14ac:dyDescent="0.4">
      <c r="A27" s="578"/>
      <c r="B27" s="578"/>
      <c r="C27" s="207"/>
      <c r="K27"/>
      <c r="L27"/>
      <c r="R27" s="206"/>
    </row>
    <row r="28" spans="1:19" x14ac:dyDescent="0.4">
      <c r="A28" s="578"/>
      <c r="B28" s="578"/>
      <c r="C28" s="207"/>
      <c r="K28"/>
      <c r="R28" s="206"/>
    </row>
    <row r="29" spans="1:19" x14ac:dyDescent="0.4">
      <c r="A29" s="578"/>
      <c r="B29" s="578"/>
      <c r="C29" s="207"/>
      <c r="K29"/>
      <c r="R29" s="206"/>
    </row>
    <row r="30" spans="1:19" x14ac:dyDescent="0.4">
      <c r="A30" s="578"/>
      <c r="B30" s="578"/>
      <c r="C30" s="207"/>
      <c r="K30"/>
      <c r="R30" s="206"/>
    </row>
    <row r="31" spans="1:19" x14ac:dyDescent="0.4">
      <c r="A31" s="578"/>
      <c r="B31" s="578"/>
      <c r="C31" s="207"/>
      <c r="K31"/>
      <c r="R31" s="224"/>
      <c r="S31" s="28"/>
    </row>
    <row r="32" spans="1:19" x14ac:dyDescent="0.4">
      <c r="A32" s="578"/>
      <c r="B32" s="578"/>
      <c r="C32" s="207"/>
      <c r="K32"/>
      <c r="R32" s="206"/>
    </row>
    <row r="33" spans="1:19" x14ac:dyDescent="0.4">
      <c r="A33" s="578"/>
      <c r="B33" s="578"/>
      <c r="C33" s="207"/>
      <c r="K33"/>
      <c r="R33" s="206"/>
    </row>
    <row r="34" spans="1:19" x14ac:dyDescent="0.4">
      <c r="A34" s="578"/>
      <c r="B34" s="578"/>
      <c r="C34" s="207"/>
      <c r="K34"/>
      <c r="R34" s="224"/>
      <c r="S34" s="28"/>
    </row>
    <row r="35" spans="1:19" ht="17.5" thickBot="1" x14ac:dyDescent="0.45">
      <c r="A35" s="578"/>
      <c r="B35" s="578"/>
      <c r="C35" s="208"/>
      <c r="D35" s="209"/>
      <c r="E35" s="209"/>
      <c r="F35" s="209"/>
      <c r="G35" s="209"/>
      <c r="H35" s="209"/>
      <c r="I35" s="209"/>
      <c r="J35" s="209"/>
      <c r="K35" s="216"/>
      <c r="L35" s="209"/>
      <c r="M35" s="209"/>
      <c r="N35" s="209"/>
      <c r="O35" s="209"/>
      <c r="P35" s="209"/>
      <c r="Q35" s="209"/>
      <c r="R35" s="210"/>
    </row>
    <row r="36" spans="1:19" x14ac:dyDescent="0.4">
      <c r="A36" s="578"/>
      <c r="B36" s="578"/>
    </row>
    <row r="37" spans="1:19" ht="17.5" thickBot="1" x14ac:dyDescent="0.45">
      <c r="A37" s="578"/>
      <c r="B37" s="578"/>
    </row>
    <row r="38" spans="1:19" ht="25.5" thickBot="1" x14ac:dyDescent="0.45">
      <c r="A38" s="578"/>
      <c r="B38" s="578"/>
      <c r="C38" s="595" t="s">
        <v>233</v>
      </c>
      <c r="D38" s="596"/>
      <c r="E38" s="596"/>
      <c r="F38" s="596"/>
      <c r="G38" s="596"/>
      <c r="H38" s="596"/>
      <c r="I38" s="596"/>
      <c r="J38" s="596"/>
      <c r="K38" s="596"/>
      <c r="L38" s="596"/>
      <c r="M38" s="597"/>
    </row>
    <row r="39" spans="1:19" x14ac:dyDescent="0.4">
      <c r="A39" s="578"/>
      <c r="B39" s="578"/>
      <c r="C39" s="600" t="s">
        <v>230</v>
      </c>
      <c r="D39" s="591" t="s">
        <v>223</v>
      </c>
      <c r="E39" s="592"/>
      <c r="F39" s="591" t="s">
        <v>108</v>
      </c>
      <c r="G39" s="592"/>
      <c r="H39" s="591" t="s">
        <v>227</v>
      </c>
      <c r="I39" s="592"/>
      <c r="J39" s="591" t="s">
        <v>228</v>
      </c>
      <c r="K39" s="592"/>
      <c r="L39" s="591" t="s">
        <v>229</v>
      </c>
      <c r="M39" s="604"/>
    </row>
    <row r="40" spans="1:19" x14ac:dyDescent="0.4">
      <c r="A40" s="578"/>
      <c r="B40" s="578"/>
      <c r="C40" s="522"/>
      <c r="D40" s="579">
        <v>0</v>
      </c>
      <c r="E40" s="580"/>
      <c r="F40" s="602">
        <f>電機廠報告與驗收規範!N3</f>
        <v>70</v>
      </c>
      <c r="G40" s="594"/>
      <c r="H40" s="612">
        <f>電機廠報告與驗收規範!N3</f>
        <v>70</v>
      </c>
      <c r="I40" s="613"/>
      <c r="J40" s="579">
        <v>0</v>
      </c>
      <c r="K40" s="580"/>
      <c r="L40" s="612">
        <v>0</v>
      </c>
      <c r="M40" s="614"/>
    </row>
    <row r="41" spans="1:19" x14ac:dyDescent="0.4">
      <c r="A41" s="578"/>
      <c r="B41" s="578"/>
      <c r="C41" s="522"/>
      <c r="D41" s="602">
        <f>電機廠報告與驗收規範!$K33</f>
        <v>750</v>
      </c>
      <c r="E41" s="594"/>
      <c r="F41" s="579">
        <f>電機廠報告與驗收規範!P33</f>
        <v>70.14</v>
      </c>
      <c r="G41" s="580"/>
      <c r="H41" s="589">
        <f>電機廠報告與驗收規範!M33</f>
        <v>70</v>
      </c>
      <c r="I41" s="590"/>
      <c r="J41" s="579">
        <f xml:space="preserve"> 電機廠報告與驗收規範!$X33</f>
        <v>5.5</v>
      </c>
      <c r="K41" s="580"/>
      <c r="L41" s="589">
        <f>ROUND(2*PI()*D41*H41/60/1000,2)</f>
        <v>5.5</v>
      </c>
      <c r="M41" s="599"/>
    </row>
    <row r="42" spans="1:19" x14ac:dyDescent="0.4">
      <c r="A42" s="578"/>
      <c r="B42" s="578"/>
      <c r="C42" s="522"/>
      <c r="D42" s="602">
        <f>電機廠報告與驗收規範!$K34</f>
        <v>1500</v>
      </c>
      <c r="E42" s="594"/>
      <c r="F42" s="579">
        <f>電機廠報告與驗收規範!P34</f>
        <v>69.36</v>
      </c>
      <c r="G42" s="580"/>
      <c r="H42" s="589">
        <f>電機廠報告與驗收規範!M34</f>
        <v>70</v>
      </c>
      <c r="I42" s="590"/>
      <c r="J42" s="579">
        <f xml:space="preserve"> 電機廠報告與驗收規範!$X34</f>
        <v>10.91</v>
      </c>
      <c r="K42" s="580"/>
      <c r="L42" s="589">
        <f t="shared" ref="L42:L49" si="0">ROUND(2*PI()*D42*H42/60/1000,2)</f>
        <v>11</v>
      </c>
      <c r="M42" s="599"/>
    </row>
    <row r="43" spans="1:19" x14ac:dyDescent="0.4">
      <c r="A43" s="578"/>
      <c r="B43" s="578"/>
      <c r="C43" s="522"/>
      <c r="D43" s="602">
        <f>IF(電機廠報告與驗收規範!$K35&gt;電機廠報告與驗收規範!$H$5,電機廠報告與驗收規範!$H$5,電機廠報告與驗收規範!$K35)</f>
        <v>2250</v>
      </c>
      <c r="E43" s="594"/>
      <c r="F43" s="579">
        <f>IF(電機廠報告與驗收規範!$K35&gt;電機廠報告與驗收規範!$H$5,電機廠報告與驗收規範!$P$41,電機廠報告與驗收規範!$P35)</f>
        <v>0</v>
      </c>
      <c r="G43" s="580"/>
      <c r="H43" s="589">
        <f>IF(電機廠報告與驗收規範!$K35&gt;電機廠報告與驗收規範!$H$5,電機廠報告與驗收規範!$M$41,電機廠報告與驗收規範!$M35)</f>
        <v>46.666666666666664</v>
      </c>
      <c r="I43" s="590"/>
      <c r="J43" s="579">
        <f>IF(電機廠報告與驗收規範!$K35&gt;電機廠報告與驗收規範!$H$5,電機廠報告與驗收規範!$X$41,電機廠報告與驗收規範!$X35)</f>
        <v>0</v>
      </c>
      <c r="K43" s="580"/>
      <c r="L43" s="589">
        <f t="shared" si="0"/>
        <v>11</v>
      </c>
      <c r="M43" s="599"/>
    </row>
    <row r="44" spans="1:19" x14ac:dyDescent="0.4">
      <c r="A44" s="578"/>
      <c r="B44" s="578"/>
      <c r="C44" s="522"/>
      <c r="D44" s="602">
        <f>IF(電機廠報告與驗收規範!$K36&gt;電機廠報告與驗收規範!$H$5,電機廠報告與驗收規範!$H$5,電機廠報告與驗收規範!$K36)</f>
        <v>3000</v>
      </c>
      <c r="E44" s="594"/>
      <c r="F44" s="579">
        <f>IF(電機廠報告與驗收規範!$K36&gt;電機廠報告與驗收規範!$H$5,電機廠報告與驗收規範!$P$41,電機廠報告與驗收規範!$P36)</f>
        <v>0</v>
      </c>
      <c r="G44" s="580"/>
      <c r="H44" s="589">
        <f>IF(電機廠報告與驗收規範!$K36&gt;電機廠報告與驗收規範!$H$5,電機廠報告與驗收規範!$M$41,電機廠報告與驗收規範!$M36)</f>
        <v>35</v>
      </c>
      <c r="I44" s="590"/>
      <c r="J44" s="579">
        <f>IF(電機廠報告與驗收規範!$K36&gt;電機廠報告與驗收規範!$H$5,電機廠報告與驗收規範!$X$41,電機廠報告與驗收規範!$X36)</f>
        <v>0</v>
      </c>
      <c r="K44" s="580"/>
      <c r="L44" s="589">
        <f t="shared" si="0"/>
        <v>11</v>
      </c>
      <c r="M44" s="599"/>
    </row>
    <row r="45" spans="1:19" x14ac:dyDescent="0.4">
      <c r="A45" s="578"/>
      <c r="B45" s="578"/>
      <c r="C45" s="522"/>
      <c r="D45" s="602">
        <f>IF(電機廠報告與驗收規範!$K37&gt;電機廠報告與驗收規範!$H$5,電機廠報告與驗收規範!$H$5,電機廠報告與驗收規範!$K37)</f>
        <v>3750</v>
      </c>
      <c r="E45" s="594"/>
      <c r="F45" s="579">
        <f>IF(電機廠報告與驗收規範!$K37&gt;電機廠報告與驗收規範!$H$5,電機廠報告與驗收規範!$P$41,電機廠報告與驗收規範!$P37)</f>
        <v>0</v>
      </c>
      <c r="G45" s="580"/>
      <c r="H45" s="589">
        <f>IF(電機廠報告與驗收規範!$K37&gt;電機廠報告與驗收規範!$H$5,電機廠報告與驗收規範!$M$41,電機廠報告與驗收規範!$M37)</f>
        <v>28</v>
      </c>
      <c r="I45" s="590"/>
      <c r="J45" s="579">
        <f>IF(電機廠報告與驗收規範!$K37&gt;電機廠報告與驗收規範!$H$5,電機廠報告與驗收規範!$X$41,電機廠報告與驗收規範!$X37)</f>
        <v>0</v>
      </c>
      <c r="K45" s="580"/>
      <c r="L45" s="589">
        <f t="shared" si="0"/>
        <v>11</v>
      </c>
      <c r="M45" s="599"/>
    </row>
    <row r="46" spans="1:19" ht="19.5" customHeight="1" x14ac:dyDescent="0.4">
      <c r="A46" s="578"/>
      <c r="B46" s="578"/>
      <c r="C46" s="522"/>
      <c r="D46" s="602">
        <f>IF(電機廠報告與驗收規範!$K38&gt;電機廠報告與驗收規範!$H$5,電機廠報告與驗收規範!$H$5,電機廠報告與驗收規範!$K38)</f>
        <v>4500</v>
      </c>
      <c r="E46" s="594"/>
      <c r="F46" s="579">
        <f>IF(電機廠報告與驗收規範!$K38&gt;電機廠報告與驗收規範!$H$5,電機廠報告與驗收規範!$P$41,電機廠報告與驗收規範!$P38)</f>
        <v>0</v>
      </c>
      <c r="G46" s="580"/>
      <c r="H46" s="589">
        <f>IF(電機廠報告與驗收規範!$K38&gt;電機廠報告與驗收規範!$H$5,電機廠報告與驗收規範!$M$41,電機廠報告與驗收規範!$M38)</f>
        <v>23.333333333333332</v>
      </c>
      <c r="I46" s="590"/>
      <c r="J46" s="579">
        <f>IF(電機廠報告與驗收規範!$K38&gt;電機廠報告與驗收規範!$H$5,電機廠報告與驗收規範!$X$41,電機廠報告與驗收規範!$X38)</f>
        <v>0</v>
      </c>
      <c r="K46" s="580"/>
      <c r="L46" s="589">
        <f t="shared" si="0"/>
        <v>11</v>
      </c>
      <c r="M46" s="599"/>
    </row>
    <row r="47" spans="1:19" ht="16.5" customHeight="1" x14ac:dyDescent="0.4">
      <c r="A47" s="578"/>
      <c r="B47" s="578"/>
      <c r="C47" s="522"/>
      <c r="D47" s="602">
        <f>IF(電機廠報告與驗收規範!$K39&gt;電機廠報告與驗收規範!$H$5,電機廠報告與驗收規範!$H$5,電機廠報告與驗收規範!$K39)</f>
        <v>5250</v>
      </c>
      <c r="E47" s="594"/>
      <c r="F47" s="579">
        <f>IF(電機廠報告與驗收規範!$K39&gt;電機廠報告與驗收規範!$H$5,電機廠報告與驗收規範!$P$41,電機廠報告與驗收規範!$P39)</f>
        <v>0</v>
      </c>
      <c r="G47" s="580"/>
      <c r="H47" s="589">
        <f>IF(電機廠報告與驗收規範!$K39&gt;電機廠報告與驗收規範!$H$5,電機廠報告與驗收規範!$M$41,電機廠報告與驗收規範!$M39)</f>
        <v>20</v>
      </c>
      <c r="I47" s="590"/>
      <c r="J47" s="579">
        <f>IF(電機廠報告與驗收規範!$K39&gt;電機廠報告與驗收規範!$H$5,電機廠報告與驗收規範!$X$41,電機廠報告與驗收規範!$X39)</f>
        <v>0</v>
      </c>
      <c r="K47" s="580"/>
      <c r="L47" s="589">
        <f t="shared" si="0"/>
        <v>11</v>
      </c>
      <c r="M47" s="599"/>
    </row>
    <row r="48" spans="1:19" x14ac:dyDescent="0.4">
      <c r="A48" s="578"/>
      <c r="B48" s="578"/>
      <c r="C48" s="522"/>
      <c r="D48" s="602">
        <f>IF(電機廠報告與驗收規範!$K40&gt;電機廠報告與驗收規範!$H$5,電機廠報告與驗收規範!$H$5,電機廠報告與驗收規範!$K40)</f>
        <v>6000</v>
      </c>
      <c r="E48" s="594"/>
      <c r="F48" s="579">
        <f>IF(電機廠報告與驗收規範!$K40&gt;電機廠報告與驗收規範!$H$5,電機廠報告與驗收規範!$P$41,電機廠報告與驗收規範!$P40)</f>
        <v>0</v>
      </c>
      <c r="G48" s="580"/>
      <c r="H48" s="589">
        <f>IF(電機廠報告與驗收規範!$K40&gt;電機廠報告與驗收規範!$H$5,電機廠報告與驗收規範!$M$41,電機廠報告與驗收規範!$M40)</f>
        <v>17.5</v>
      </c>
      <c r="I48" s="590"/>
      <c r="J48" s="579">
        <f>IF(電機廠報告與驗收規範!$K40&gt;電機廠報告與驗收規範!$H$5,電機廠報告與驗收規範!$X$41,電機廠報告與驗收規範!$X40)</f>
        <v>0</v>
      </c>
      <c r="K48" s="580"/>
      <c r="L48" s="589">
        <f t="shared" si="0"/>
        <v>11</v>
      </c>
      <c r="M48" s="599"/>
    </row>
    <row r="49" spans="1:13" ht="17.5" thickBot="1" x14ac:dyDescent="0.45">
      <c r="A49" s="578"/>
      <c r="B49" s="578"/>
      <c r="C49" s="601"/>
      <c r="D49" s="602">
        <f>IF(電機廠報告與驗收規範!$K41&gt;電機廠報告與驗收規範!$H$5,電機廠報告與驗收規範!$H$5,電機廠報告與驗收規範!$K41)</f>
        <v>8000</v>
      </c>
      <c r="E49" s="594"/>
      <c r="F49" s="579">
        <f>IF(電機廠報告與驗收規範!$K41&gt;電機廠報告與驗收規範!$H$5,電機廠報告與驗收規範!$P$41,電機廠報告與驗收規範!$P41)</f>
        <v>0</v>
      </c>
      <c r="G49" s="580"/>
      <c r="H49" s="589">
        <f>IF(電機廠報告與驗收規範!$K41&gt;電機廠報告與驗收規範!$H$5,電機廠報告與驗收規範!$M$41,電機廠報告與驗收規範!$M41)</f>
        <v>13.125</v>
      </c>
      <c r="I49" s="590"/>
      <c r="J49" s="579">
        <f>IF(電機廠報告與驗收規範!$K41&gt;電機廠報告與驗收規範!$H$5,電機廠報告與驗收規範!$X$41,電機廠報告與驗收規範!$X41)</f>
        <v>0</v>
      </c>
      <c r="K49" s="580"/>
      <c r="L49" s="609">
        <f t="shared" si="0"/>
        <v>11</v>
      </c>
      <c r="M49" s="610"/>
    </row>
    <row r="50" spans="1:13" x14ac:dyDescent="0.4">
      <c r="C50" s="600" t="s">
        <v>231</v>
      </c>
      <c r="D50" s="591" t="s">
        <v>223</v>
      </c>
      <c r="E50" s="592"/>
      <c r="F50" s="591" t="s">
        <v>108</v>
      </c>
      <c r="G50" s="592"/>
      <c r="H50" s="591" t="s">
        <v>227</v>
      </c>
      <c r="I50" s="592"/>
      <c r="J50" s="591" t="s">
        <v>228</v>
      </c>
      <c r="K50" s="592"/>
      <c r="L50" s="591" t="s">
        <v>229</v>
      </c>
      <c r="M50" s="604"/>
    </row>
    <row r="51" spans="1:13" x14ac:dyDescent="0.4">
      <c r="C51" s="522"/>
      <c r="D51" s="593">
        <v>0</v>
      </c>
      <c r="E51" s="594"/>
      <c r="F51" s="602">
        <f>電機廠報告與驗收規範!N3*電機廠報告與驗收規範!L44</f>
        <v>105</v>
      </c>
      <c r="G51" s="594"/>
      <c r="H51" s="589">
        <f>電機廠報告與驗收規範!N3*電機廠報告與驗收規範!L44</f>
        <v>105</v>
      </c>
      <c r="I51" s="590"/>
      <c r="J51" s="602">
        <v>0</v>
      </c>
      <c r="K51" s="594"/>
      <c r="L51" s="587">
        <v>0</v>
      </c>
      <c r="M51" s="603"/>
    </row>
    <row r="52" spans="1:13" x14ac:dyDescent="0.4">
      <c r="C52" s="522"/>
      <c r="D52" s="602">
        <f>電機廠報告與驗收規範!$K44</f>
        <v>750</v>
      </c>
      <c r="E52" s="594"/>
      <c r="F52" s="579">
        <f>電機廠報告與驗收規範!P44</f>
        <v>105.3</v>
      </c>
      <c r="G52" s="580"/>
      <c r="H52" s="589">
        <f>電機廠報告與驗收規範!M44</f>
        <v>105</v>
      </c>
      <c r="I52" s="590"/>
      <c r="J52" s="602">
        <f xml:space="preserve"> 電機廠報告與驗收規範!$X44</f>
        <v>8.27</v>
      </c>
      <c r="K52" s="594"/>
      <c r="L52" s="587">
        <f>ROUND(2*PI()*D52*H52/60/1000,2)</f>
        <v>8.25</v>
      </c>
      <c r="M52" s="603"/>
    </row>
    <row r="53" spans="1:13" x14ac:dyDescent="0.4">
      <c r="C53" s="522"/>
      <c r="D53" s="602">
        <f>電機廠報告與驗收規範!$K45</f>
        <v>1500</v>
      </c>
      <c r="E53" s="594"/>
      <c r="F53" s="579">
        <f>電機廠報告與驗收規範!P45</f>
        <v>105.9</v>
      </c>
      <c r="G53" s="580"/>
      <c r="H53" s="589">
        <f>電機廠報告與驗收規範!M45</f>
        <v>105</v>
      </c>
      <c r="I53" s="590"/>
      <c r="J53" s="579">
        <f xml:space="preserve"> 電機廠報告與驗收規範!$X45</f>
        <v>16.399999999999999</v>
      </c>
      <c r="K53" s="580"/>
      <c r="L53" s="587">
        <f t="shared" ref="L53:L60" si="1">ROUND(2*PI()*D53*H53/60/1000,2)</f>
        <v>16.489999999999998</v>
      </c>
      <c r="M53" s="603"/>
    </row>
    <row r="54" spans="1:13" x14ac:dyDescent="0.4">
      <c r="C54" s="522"/>
      <c r="D54" s="602">
        <f>IF(電機廠報告與驗收規範!$K46&gt;電機廠報告與驗收規範!$H$5,電機廠報告與驗收規範!$H$5,電機廠報告與驗收規範!$K46)</f>
        <v>2250</v>
      </c>
      <c r="E54" s="594"/>
      <c r="F54" s="579">
        <f>IF(電機廠報告與驗收規範!$K46&gt;電機廠報告與驗收規範!$H$5,電機廠報告與驗收規範!$P$52,電機廠報告與驗收規範!$P46)</f>
        <v>0</v>
      </c>
      <c r="G54" s="580"/>
      <c r="H54" s="589">
        <f>IF(電機廠報告與驗收規範!$K46&gt;電機廠報告與驗收規範!$H$5,電機廠報告與驗收規範!$M$52,電機廠報告與驗收規範!$M46)</f>
        <v>70</v>
      </c>
      <c r="I54" s="590"/>
      <c r="J54" s="579">
        <f>IF(電機廠報告與驗收規範!$K46&gt;電機廠報告與驗收規範!$H$5,電機廠報告與驗收規範!$X$52,電機廠報告與驗收規範!$X46)</f>
        <v>0</v>
      </c>
      <c r="K54" s="580"/>
      <c r="L54" s="587">
        <f t="shared" si="1"/>
        <v>16.489999999999998</v>
      </c>
      <c r="M54" s="603"/>
    </row>
    <row r="55" spans="1:13" x14ac:dyDescent="0.4">
      <c r="C55" s="522"/>
      <c r="D55" s="602">
        <f>IF(電機廠報告與驗收規範!$K47&gt;電機廠報告與驗收規範!$H$5,電機廠報告與驗收規範!$H$5,電機廠報告與驗收規範!$K47)</f>
        <v>3000</v>
      </c>
      <c r="E55" s="594"/>
      <c r="F55" s="579">
        <f>IF(電機廠報告與驗收規範!$K47&gt;電機廠報告與驗收規範!$H$5,電機廠報告與驗收規範!$P$52,電機廠報告與驗收規範!$P47)</f>
        <v>0</v>
      </c>
      <c r="G55" s="580"/>
      <c r="H55" s="589">
        <f>IF(電機廠報告與驗收規範!$K47&gt;電機廠報告與驗收規範!$H$5,電機廠報告與驗收規範!$M$52,電機廠報告與驗收規範!$M47)</f>
        <v>52.5</v>
      </c>
      <c r="I55" s="590"/>
      <c r="J55" s="579">
        <f>IF(電機廠報告與驗收規範!$K47&gt;電機廠報告與驗收規範!$H$5,電機廠報告與驗收規範!$X$52,電機廠報告與驗收規範!$X47)</f>
        <v>0</v>
      </c>
      <c r="K55" s="580"/>
      <c r="L55" s="587">
        <f t="shared" si="1"/>
        <v>16.489999999999998</v>
      </c>
      <c r="M55" s="603"/>
    </row>
    <row r="56" spans="1:13" x14ac:dyDescent="0.4">
      <c r="C56" s="522"/>
      <c r="D56" s="602">
        <f>IF(電機廠報告與驗收規範!$K48&gt;電機廠報告與驗收規範!$H$5,電機廠報告與驗收規範!$H$5,電機廠報告與驗收規範!$K48)</f>
        <v>3750</v>
      </c>
      <c r="E56" s="594"/>
      <c r="F56" s="579">
        <f>IF(電機廠報告與驗收規範!$K48&gt;電機廠報告與驗收規範!$H$5,電機廠報告與驗收規範!$P$52,電機廠報告與驗收規範!$P48)</f>
        <v>0</v>
      </c>
      <c r="G56" s="580"/>
      <c r="H56" s="589">
        <f>IF(電機廠報告與驗收規範!$K48&gt;電機廠報告與驗收規範!$H$5,電機廠報告與驗收規範!$M$52,電機廠報告與驗收規範!$M48)</f>
        <v>42</v>
      </c>
      <c r="I56" s="590"/>
      <c r="J56" s="579">
        <f>IF(電機廠報告與驗收規範!$K48&gt;電機廠報告與驗收規範!$H$5,電機廠報告與驗收規範!$X$52,電機廠報告與驗收規範!$X48)</f>
        <v>0</v>
      </c>
      <c r="K56" s="580"/>
      <c r="L56" s="587">
        <f t="shared" si="1"/>
        <v>16.489999999999998</v>
      </c>
      <c r="M56" s="603"/>
    </row>
    <row r="57" spans="1:13" ht="20.25" customHeight="1" x14ac:dyDescent="0.4">
      <c r="C57" s="522"/>
      <c r="D57" s="602">
        <f>IF(電機廠報告與驗收規範!$K49&gt;電機廠報告與驗收規範!$H$5,電機廠報告與驗收規範!$H$5,電機廠報告與驗收規範!$K49)</f>
        <v>4500</v>
      </c>
      <c r="E57" s="594"/>
      <c r="F57" s="579">
        <f>IF(電機廠報告與驗收規範!$K49&gt;電機廠報告與驗收規範!$H$5,電機廠報告與驗收規範!$P$52,電機廠報告與驗收規範!$P49)</f>
        <v>0</v>
      </c>
      <c r="G57" s="580"/>
      <c r="H57" s="589">
        <f>IF(電機廠報告與驗收規範!$K49&gt;電機廠報告與驗收規範!$H$5,電機廠報告與驗收規範!$M$52,電機廠報告與驗收規範!$M49)</f>
        <v>35</v>
      </c>
      <c r="I57" s="590"/>
      <c r="J57" s="579">
        <f>IF(電機廠報告與驗收規範!$K49&gt;電機廠報告與驗收規範!$H$5,電機廠報告與驗收規範!$X$52,電機廠報告與驗收規範!$X49)</f>
        <v>0</v>
      </c>
      <c r="K57" s="580"/>
      <c r="L57" s="587">
        <f t="shared" si="1"/>
        <v>16.489999999999998</v>
      </c>
      <c r="M57" s="603"/>
    </row>
    <row r="58" spans="1:13" ht="16.5" customHeight="1" x14ac:dyDescent="0.4">
      <c r="C58" s="522"/>
      <c r="D58" s="602">
        <f>IF(電機廠報告與驗收規範!$K50&gt;電機廠報告與驗收規範!$H$5,電機廠報告與驗收規範!$H$5,電機廠報告與驗收規範!$K50)</f>
        <v>5250</v>
      </c>
      <c r="E58" s="594"/>
      <c r="F58" s="579">
        <f>IF(電機廠報告與驗收規範!$K50&gt;電機廠報告與驗收規範!$H$5,電機廠報告與驗收規範!$P$52,電機廠報告與驗收規範!$P50)</f>
        <v>0</v>
      </c>
      <c r="G58" s="580"/>
      <c r="H58" s="589">
        <f>IF(電機廠報告與驗收規範!$K50&gt;電機廠報告與驗收規範!$H$5,電機廠報告與驗收規範!$M$52,電機廠報告與驗收規範!$M50)</f>
        <v>30</v>
      </c>
      <c r="I58" s="590"/>
      <c r="J58" s="579">
        <f>IF(電機廠報告與驗收規範!$K50&gt;電機廠報告與驗收規範!$H$5,電機廠報告與驗收規範!$X$52,電機廠報告與驗收規範!$X50)</f>
        <v>0</v>
      </c>
      <c r="K58" s="580"/>
      <c r="L58" s="587">
        <f t="shared" si="1"/>
        <v>16.489999999999998</v>
      </c>
      <c r="M58" s="603"/>
    </row>
    <row r="59" spans="1:13" x14ac:dyDescent="0.4">
      <c r="C59" s="522"/>
      <c r="D59" s="602">
        <f>IF(電機廠報告與驗收規範!$K51&gt;電機廠報告與驗收規範!$H$5,電機廠報告與驗收規範!$H$5,電機廠報告與驗收規範!$K51)</f>
        <v>6000</v>
      </c>
      <c r="E59" s="594"/>
      <c r="F59" s="579">
        <f>IF(電機廠報告與驗收規範!$K51&gt;電機廠報告與驗收規範!$H$5,電機廠報告與驗收規範!$P$52,電機廠報告與驗收規範!$P51)</f>
        <v>0</v>
      </c>
      <c r="G59" s="580"/>
      <c r="H59" s="589">
        <f>IF(電機廠報告與驗收規範!$K51&gt;電機廠報告與驗收規範!$H$5,電機廠報告與驗收規範!$M$52,電機廠報告與驗收規範!$M51)</f>
        <v>26.25</v>
      </c>
      <c r="I59" s="590"/>
      <c r="J59" s="579">
        <f>IF(電機廠報告與驗收規範!$K51&gt;電機廠報告與驗收規範!$H$5,電機廠報告與驗收規範!$X$52,電機廠報告與驗收規範!$X51)</f>
        <v>0</v>
      </c>
      <c r="K59" s="580"/>
      <c r="L59" s="587">
        <f t="shared" si="1"/>
        <v>16.489999999999998</v>
      </c>
      <c r="M59" s="603"/>
    </row>
    <row r="60" spans="1:13" ht="17.5" thickBot="1" x14ac:dyDescent="0.45">
      <c r="C60" s="522"/>
      <c r="D60" s="607">
        <f>IF(電機廠報告與驗收規範!$K52&gt;電機廠報告與驗收規範!$H$5,電機廠報告與驗收規範!$H$5,電機廠報告與驗收規範!$K52)</f>
        <v>8000</v>
      </c>
      <c r="E60" s="608"/>
      <c r="F60" s="583">
        <f>IF(電機廠報告與驗收規範!$K52&gt;電機廠報告與驗收規範!$H$5,電機廠報告與驗收規範!$P$52,電機廠報告與驗收規範!$P52)</f>
        <v>0</v>
      </c>
      <c r="G60" s="584"/>
      <c r="H60" s="609">
        <f>IF(電機廠報告與驗收規範!$K52&gt;電機廠報告與驗收規範!$H$5,電機廠報告與驗收規範!$M$52,電機廠報告與驗收規範!$M52)</f>
        <v>19.6875</v>
      </c>
      <c r="I60" s="618"/>
      <c r="J60" s="583">
        <f>IF(電機廠報告與驗收規範!$K52&gt;電機廠報告與驗收規範!$H$5,電機廠報告與驗收規範!$X$52,電機廠報告與驗收規範!$X52)</f>
        <v>0</v>
      </c>
      <c r="K60" s="584"/>
      <c r="L60" s="616">
        <f t="shared" si="1"/>
        <v>16.489999999999998</v>
      </c>
      <c r="M60" s="617"/>
    </row>
    <row r="61" spans="1:13" x14ac:dyDescent="0.4">
      <c r="C61" s="406" t="s">
        <v>232</v>
      </c>
      <c r="D61" s="598" t="s">
        <v>223</v>
      </c>
      <c r="E61" s="592"/>
      <c r="F61" s="591" t="s">
        <v>108</v>
      </c>
      <c r="G61" s="592"/>
      <c r="H61" s="591" t="s">
        <v>227</v>
      </c>
      <c r="I61" s="592"/>
      <c r="J61" s="591" t="s">
        <v>228</v>
      </c>
      <c r="K61" s="592"/>
      <c r="L61" s="591" t="s">
        <v>229</v>
      </c>
      <c r="M61" s="604"/>
    </row>
    <row r="62" spans="1:13" x14ac:dyDescent="0.4">
      <c r="C62" s="403"/>
      <c r="D62" s="605">
        <v>0</v>
      </c>
      <c r="E62" s="606"/>
      <c r="F62" s="579">
        <f>MAX(電機廠報告與驗收規範!N56,電機廠報告與驗收規範!N57,電機廠報告與驗收規範!N58)</f>
        <v>140</v>
      </c>
      <c r="G62" s="580"/>
      <c r="H62" s="587">
        <f>MAX(電機廠報告與驗收規範!N56,電機廠報告與驗收規範!N57,電機廠報告與驗收規範!N58)</f>
        <v>140</v>
      </c>
      <c r="I62" s="588"/>
      <c r="J62" s="585">
        <v>0</v>
      </c>
      <c r="K62" s="586"/>
      <c r="L62" s="587">
        <v>0</v>
      </c>
      <c r="M62" s="603"/>
    </row>
    <row r="63" spans="1:13" x14ac:dyDescent="0.4">
      <c r="C63" s="403"/>
      <c r="D63" s="593">
        <f>IF(電機廠報告與驗收規範!$N58=電機廠報告與驗收規範!$J$5,電機廠報告與驗收規範!$L58,IF(AND(電機廠報告與驗收規範!$N57&gt;電機廠報告與驗收規範!$N58,電機廠報告與驗收規範!$N57=電機廠報告與驗收規範!$J$5),電機廠報告與驗收規範!$L57,電機廠報告與驗收規範!$L56))</f>
        <v>1500</v>
      </c>
      <c r="E63" s="594"/>
      <c r="F63" s="579">
        <f>IF(電機廠報告與驗收規範!$N58=電機廠報告與驗收規範!$J$5,電機廠報告與驗收規範!$Q58,IF(AND(電機廠報告與驗收規範!$N57&gt;電機廠報告與驗收規範!$N58,電機廠報告與驗收規範!$N57=電機廠報告與驗收規範!$J$5),電機廠報告與驗收規範!$Q57,電機廠報告與驗收規範!$Q56))</f>
        <v>140.65</v>
      </c>
      <c r="G63" s="580"/>
      <c r="H63" s="589">
        <f>IF(電機廠報告與驗收規範!$N58=電機廠報告與驗收規範!$J$5,電機廠報告與驗收規範!$N58,IF(AND(電機廠報告與驗收規範!$N57&gt;電機廠報告與驗收規範!$N58,電機廠報告與驗收規範!$N57=電機廠報告與驗收規範!$J$5),電機廠報告與驗收規範!$N57,電機廠報告與驗收規範!$N56))</f>
        <v>140</v>
      </c>
      <c r="I63" s="590"/>
      <c r="J63" s="579">
        <f>IF(電機廠報告與驗收規範!$N58=電機廠報告與驗收規範!$J$5,電機廠報告與驗收規範!$U58,IF(AND(電機廠報告與驗收規範!$N57&gt;電機廠報告與驗收規範!$N58,電機廠報告與驗收規範!$N57=電機廠報告與驗收規範!$J$5),電機廠報告與驗收規範!$U57,電機廠報告與驗收規範!$U56))</f>
        <v>21.9</v>
      </c>
      <c r="K63" s="580"/>
      <c r="L63" s="589">
        <f>ROUND(2*PI()*D63*H63/60/1000,2)</f>
        <v>21.99</v>
      </c>
      <c r="M63" s="599"/>
    </row>
    <row r="64" spans="1:13" x14ac:dyDescent="0.4">
      <c r="C64" s="403"/>
      <c r="D64" s="593">
        <f>IF(電機廠報告與驗收規範!$N59=電機廠報告與驗收規範!$J$5,電機廠報告與驗收規範!$L59,IF(AND(電機廠報告與驗收規範!$N58&gt;電機廠報告與驗收規範!$N59,電機廠報告與驗收規範!$N58=電機廠報告與驗收規範!$J$5),電機廠報告與驗收規範!$L58,電機廠報告與驗收規範!$L57))</f>
        <v>1500</v>
      </c>
      <c r="E64" s="594"/>
      <c r="F64" s="579">
        <f>IF(電機廠報告與驗收規範!$N59=電機廠報告與驗收規範!$J$5,電機廠報告與驗收規範!$Q59,IF(AND(電機廠報告與驗收規範!$N58&gt;電機廠報告與驗收規範!$N59,電機廠報告與驗收規範!$N58=電機廠報告與驗收規範!$J$5),電機廠報告與驗收規範!$Q58,電機廠報告與驗收規範!$Q57))</f>
        <v>140.65</v>
      </c>
      <c r="G64" s="580"/>
      <c r="H64" s="589">
        <f>IF(電機廠報告與驗收規範!$N59=電機廠報告與驗收規範!$J$5,電機廠報告與驗收規範!$N59,IF(AND(電機廠報告與驗收規範!$N58&gt;電機廠報告與驗收規範!$N59,電機廠報告與驗收規範!$N58=電機廠報告與驗收規範!$J$5),電機廠報告與驗收規範!$N58,電機廠報告與驗收規範!$N57))</f>
        <v>140</v>
      </c>
      <c r="I64" s="590"/>
      <c r="J64" s="579">
        <f>IF(電機廠報告與驗收規範!$N59=電機廠報告與驗收規範!$J$5,電機廠報告與驗收規範!$U59,IF(AND(電機廠報告與驗收規範!$N58&gt;電機廠報告與驗收規範!$N59,電機廠報告與驗收規範!$N58=電機廠報告與驗收規範!$J$5),電機廠報告與驗收規範!$U58,電機廠報告與驗收規範!$U57))</f>
        <v>21.9</v>
      </c>
      <c r="K64" s="580"/>
      <c r="L64" s="589">
        <f t="shared" ref="L64:L70" si="2">ROUND(2*PI()*D64*H64/60/1000,2)</f>
        <v>21.99</v>
      </c>
      <c r="M64" s="599"/>
    </row>
    <row r="65" spans="3:13" x14ac:dyDescent="0.4">
      <c r="C65" s="403"/>
      <c r="D65" s="593">
        <f>IF(電機廠報告與驗收規範!$N60=電機廠報告與驗收規範!$J$5,電機廠報告與驗收規範!$L60,IF(AND(電機廠報告與驗收規範!$N59&gt;電機廠報告與驗收規範!$N60,電機廠報告與驗收規範!$N59=電機廠報告與驗收規範!$J$5),電機廠報告與驗收規範!$L59,電機廠報告與驗收規範!$L58))</f>
        <v>1500</v>
      </c>
      <c r="E65" s="594"/>
      <c r="F65" s="579">
        <f>IF(電機廠報告與驗收規範!$N60=電機廠報告與驗收規範!$J$5,電機廠報告與驗收規範!$Q60,IF(AND(電機廠報告與驗收規範!$N59&gt;電機廠報告與驗收規範!$N60,電機廠報告與驗收規範!$N59=電機廠報告與驗收規範!$J$5),電機廠報告與驗收規範!$Q59,電機廠報告與驗收規範!$Q58))</f>
        <v>140.65</v>
      </c>
      <c r="G65" s="580"/>
      <c r="H65" s="589">
        <f>IF(電機廠報告與驗收規範!$N60=電機廠報告與驗收規範!$J$5,電機廠報告與驗收規範!$N60,IF(AND(電機廠報告與驗收規範!$N59&gt;電機廠報告與驗收規範!$N60,電機廠報告與驗收規範!$N59=電機廠報告與驗收規範!$J$5),電機廠報告與驗收規範!$N59,電機廠報告與驗收規範!$N58))</f>
        <v>140</v>
      </c>
      <c r="I65" s="590"/>
      <c r="J65" s="579">
        <f>IF(電機廠報告與驗收規範!$N60=電機廠報告與驗收規範!$J$5,電機廠報告與驗收規範!$U60,IF(AND(電機廠報告與驗收規範!$N59&gt;電機廠報告與驗收規範!$N60,電機廠報告與驗收規範!$N59=電機廠報告與驗收規範!$J$5),電機廠報告與驗收規範!$U59,電機廠報告與驗收規範!$U58))</f>
        <v>21.9</v>
      </c>
      <c r="K65" s="580"/>
      <c r="L65" s="589">
        <f t="shared" si="2"/>
        <v>21.99</v>
      </c>
      <c r="M65" s="599"/>
    </row>
    <row r="66" spans="3:13" x14ac:dyDescent="0.4">
      <c r="C66" s="403"/>
      <c r="D66" s="593">
        <f>IF(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&gt;電機廠報告與驗收規範!$H$5,電機廠報告與驗收規範!$H$5,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)</f>
        <v>2250</v>
      </c>
      <c r="E66" s="594"/>
      <c r="F66" s="579">
        <f>IF(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&gt;電機廠報告與驗收規範!$H$5,電機廠報告與驗收規範!$Q$65,IF(IF(電機廠報告與驗收規範!$N60=電機廠報告與驗收規範!$J$5,電機廠報告與驗收規範!$L60,IF(AND(電機廠報告與驗收規範!$N59&gt;電機廠報告與驗收規範!$N60,電機廠報告與驗收規範!$N59=電機廠報告與驗收規範!$J$5),電機廠報告與驗收規範!$L59,電機廠報告與驗收規範!$L58))=電機廠報告與驗收規範!$L58,電機廠報告與驗收規範!$Q59,IF(IF(電機廠報告與驗收規範!$N60=電機廠報告與驗收規範!$J$5,電機廠報告與驗收規範!$L60,IF(AND(電機廠報告與驗收規範!$N59&gt;電機廠報告與驗收規範!$N60,電機廠報告與驗收規範!$N59=電機廠報告與驗收規範!$J$5),電機廠報告與驗收規範!$L59,電機廠報告與驗收規範!$L58))=電機廠報告與驗收規範!$L57,電機廠報告與驗收規範!$Q58,電機廠報告與驗收規範!$Q57)))</f>
        <v>0</v>
      </c>
      <c r="G66" s="580"/>
      <c r="H66" s="589">
        <f>IF(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&gt;電機廠報告與驗收規範!$H$5,電機廠報告與驗收規範!$N$65,IF(IF(電機廠報告與驗收規範!$N60=電機廠報告與驗收規範!$J$5,電機廠報告與驗收規範!$L60,IF(AND(電機廠報告與驗收規範!$N59&gt;電機廠報告與驗收規範!$N60,電機廠報告與驗收規範!$N59=電機廠報告與驗收規範!$J$5),電機廠報告與驗收規範!$L59,電機廠報告與驗收規範!$L58))=電機廠報告與驗收規範!$L58,電機廠報告與驗收規範!$N59,IF(IF(電機廠報告與驗收規範!$N60=電機廠報告與驗收規範!$J$5,電機廠報告與驗收規範!$L60,IF(AND(電機廠報告與驗收規範!$N59&gt;電機廠報告與驗收規範!$N60,電機廠報告與驗收規範!$N59=電機廠報告與驗收規範!$J$5),電機廠報告與驗收規範!$L59,電機廠報告與驗收規範!$L58))=電機廠報告與驗收規範!$L57,電機廠報告與驗收規範!$N58,電機廠報告與驗收規範!$N57)))</f>
        <v>93.333333333333329</v>
      </c>
      <c r="I66" s="590"/>
      <c r="J66" s="579">
        <f>IF(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&gt;電機廠報告與驗收規範!$H$5,電機廠報告與驗收規範!$U$65,IF(IF(電機廠報告與驗收規範!$N60=電機廠報告與驗收規範!$J$5,電機廠報告與驗收規範!$L60,IF(AND(電機廠報告與驗收規範!$N59&gt;電機廠報告與驗收規範!$N60,電機廠報告與驗收規範!$N59=電機廠報告與驗收規範!$J$5),電機廠報告與驗收規範!$L59,電機廠報告與驗收規範!$L58))=電機廠報告與驗收規範!$L58,電機廠報告與驗收規範!$U59,IF(IF(電機廠報告與驗收規範!$N60=電機廠報告與驗收規範!$J$5,電機廠報告與驗收規範!$L60,IF(AND(電機廠報告與驗收規範!$N59&gt;電機廠報告與驗收規範!$N60,電機廠報告與驗收規範!$N59=電機廠報告與驗收規範!$J$5),電機廠報告與驗收規範!$L59,電機廠報告與驗收規範!$L58))=電機廠報告與驗收規範!$L57,電機廠報告與驗收規範!$U58,電機廠報告與驗收規範!$U57)))</f>
        <v>0</v>
      </c>
      <c r="K66" s="580"/>
      <c r="L66" s="589">
        <f t="shared" si="2"/>
        <v>21.99</v>
      </c>
      <c r="M66" s="599"/>
    </row>
    <row r="67" spans="3:13" x14ac:dyDescent="0.4">
      <c r="C67" s="403"/>
      <c r="D67" s="593">
        <f>IF(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&gt;電機廠報告與驗收規範!$H$5,電機廠報告與驗收規範!$H$5,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)</f>
        <v>3000</v>
      </c>
      <c r="E67" s="594"/>
      <c r="F67" s="579">
        <f>IF(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&gt;電機廠報告與驗收規範!$H$5,電機廠報告與驗收規範!$Q$65,IF(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=電機廠報告與驗收規範!$L59,電機廠報告與驗收規範!$Q60,IF(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=電機廠報告與驗收規範!$L58,電機廠報告與驗收規範!$Q59,電機廠報告與驗收規範!$Q58)))</f>
        <v>0</v>
      </c>
      <c r="G67" s="580"/>
      <c r="H67" s="589">
        <f>IF(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&gt;電機廠報告與驗收規範!$H$5,電機廠報告與驗收規範!$N$65,IF(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=電機廠報告與驗收規範!$L59,電機廠報告與驗收規範!$N60,IF(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=電機廠報告與驗收規範!$L58,電機廠報告與驗收規範!$N59,電機廠報告與驗收規範!$N58)))</f>
        <v>70</v>
      </c>
      <c r="I67" s="590"/>
      <c r="J67" s="579">
        <f>IF(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&gt;電機廠報告與驗收規範!$H$5,電機廠報告與驗收規範!$U$65,IF(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=電機廠報告與驗收規範!$L59,電機廠報告與驗收規範!$U60,IF(IF(電機廠報告與驗收規範!$N61=電機廠報告與驗收規範!$J$5,電機廠報告與驗收規範!$L61,IF(AND(電機廠報告與驗收規範!$N60&gt;電機廠報告與驗收規範!$N61,電機廠報告與驗收規範!$N60=電機廠報告與驗收規範!$J$5),電機廠報告與驗收規範!$L60,電機廠報告與驗收規範!$L59))=電機廠報告與驗收規範!$L58,電機廠報告與驗收規範!$U59,電機廠報告與驗收規範!$U58)))</f>
        <v>0</v>
      </c>
      <c r="K67" s="580"/>
      <c r="L67" s="589">
        <f t="shared" si="2"/>
        <v>21.99</v>
      </c>
      <c r="M67" s="599"/>
    </row>
    <row r="68" spans="3:13" x14ac:dyDescent="0.4">
      <c r="C68" s="403"/>
      <c r="D68" s="593">
        <f>IF(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&gt;電機廠報告與驗收規範!$H$5,電機廠報告與驗收規範!$H$5,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)</f>
        <v>3750</v>
      </c>
      <c r="E68" s="594"/>
      <c r="F68" s="579">
        <f>IF(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&gt;電機廠報告與驗收規範!$H$5,電機廠報告與驗收規範!$Q$65,IF(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=電機廠報告與驗收規範!$L60,電機廠報告與驗收規範!$Q61,IF(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=電機廠報告與驗收規範!$L59,電機廠報告與驗收規範!$Q60,電機廠報告與驗收規範!$Q59)))</f>
        <v>0</v>
      </c>
      <c r="G68" s="580"/>
      <c r="H68" s="589">
        <f>IF(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&gt;電機廠報告與驗收規範!$H$5,電機廠報告與驗收規範!$N$65,IF(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=電機廠報告與驗收規範!$L60,電機廠報告與驗收規範!$N61,IF(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=電機廠報告與驗收規範!$L59,電機廠報告與驗收規範!$N60,電機廠報告與驗收規範!$N59)))</f>
        <v>56</v>
      </c>
      <c r="I68" s="590"/>
      <c r="J68" s="579">
        <f>IF(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&gt;電機廠報告與驗收規範!$H$5,電機廠報告與驗收規範!$U$65,IF(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=電機廠報告與驗收規範!$L60,電機廠報告與驗收規範!$U61,IF(IF(電機廠報告與驗收規範!$N62=電機廠報告與驗收規範!$J$5,電機廠報告與驗收規範!$L62,IF(AND(電機廠報告與驗收規範!$N61&gt;電機廠報告與驗收規範!$N62,電機廠報告與驗收規範!$N61=電機廠報告與驗收規範!$J$5),電機廠報告與驗收規範!$L61,電機廠報告與驗收規範!$L60))=電機廠報告與驗收規範!$L59,電機廠報告與驗收規範!$U60,電機廠報告與驗收規範!$U59)))</f>
        <v>0</v>
      </c>
      <c r="K68" s="580"/>
      <c r="L68" s="589">
        <f t="shared" si="2"/>
        <v>21.99</v>
      </c>
      <c r="M68" s="599"/>
    </row>
    <row r="69" spans="3:13" x14ac:dyDescent="0.4">
      <c r="C69" s="403"/>
      <c r="D69" s="593">
        <f>IF(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&gt;電機廠報告與驗收規範!$H$5,電機廠報告與驗收規範!$H$5,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)</f>
        <v>4500</v>
      </c>
      <c r="E69" s="594"/>
      <c r="F69" s="579">
        <f>IF(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&gt;電機廠報告與驗收規範!$H$5,電機廠報告與驗收規範!$Q$65,IF(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=電機廠報告與驗收規範!$L61,電機廠報告與驗收規範!$Q62,IF(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=電機廠報告與驗收規範!$L60,電機廠報告與驗收規範!$Q61,電機廠報告與驗收規範!$Q60)))</f>
        <v>0</v>
      </c>
      <c r="G69" s="580"/>
      <c r="H69" s="589">
        <f>IF(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&gt;電機廠報告與驗收規範!$H$5,電機廠報告與驗收規範!$N$65,IF(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=電機廠報告與驗收規範!$L61,電機廠報告與驗收規範!$N62,IF(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=電機廠報告與驗收規範!$L60,電機廠報告與驗收規範!$N61,電機廠報告與驗收規範!$N60)))</f>
        <v>46.666666666666664</v>
      </c>
      <c r="I69" s="590"/>
      <c r="J69" s="579">
        <f>IF(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&gt;電機廠報告與驗收規範!$H$5,電機廠報告與驗收規範!$U$65,IF(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=電機廠報告與驗收規範!$L61,電機廠報告與驗收規範!$U62,IF(IF(電機廠報告與驗收規範!$N63=電機廠報告與驗收規範!$J$5,電機廠報告與驗收規範!$L63,IF(AND(電機廠報告與驗收規範!$N62&gt;電機廠報告與驗收規範!$N63,電機廠報告與驗收規範!$N62=電機廠報告與驗收規範!$J$5),電機廠報告與驗收規範!$L62,電機廠報告與驗收規範!$L61))=電機廠報告與驗收規範!$L60,電機廠報告與驗收規範!$U61,電機廠報告與驗收規範!$U60)))</f>
        <v>0</v>
      </c>
      <c r="K69" s="580"/>
      <c r="L69" s="589">
        <f t="shared" si="2"/>
        <v>21.99</v>
      </c>
      <c r="M69" s="599"/>
    </row>
    <row r="70" spans="3:13" x14ac:dyDescent="0.4">
      <c r="C70" s="403"/>
      <c r="D70" s="593">
        <f>IF(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&gt;電機廠報告與驗收規範!$H$5,電機廠報告與驗收規範!$H$5,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)</f>
        <v>5250</v>
      </c>
      <c r="E70" s="594"/>
      <c r="F70" s="579">
        <f>IF(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&gt;電機廠報告與驗收規範!$H$5,電機廠報告與驗收規範!$Q$65,IF(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=電機廠報告與驗收規範!$L62,電機廠報告與驗收規範!$Q63,IF(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=電機廠報告與驗收規範!$L61,電機廠報告與驗收規範!$Q62,電機廠報告與驗收規範!$Q61)))</f>
        <v>0</v>
      </c>
      <c r="G70" s="580"/>
      <c r="H70" s="589">
        <f>IF(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&gt;電機廠報告與驗收規範!$H$5,電機廠報告與驗收規範!$N$65,IF(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=電機廠報告與驗收規範!$L62,電機廠報告與驗收規範!$N63,IF(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=電機廠報告與驗收規範!$L61,電機廠報告與驗收規範!$N62,電機廠報告與驗收規範!$N61)))</f>
        <v>40</v>
      </c>
      <c r="I70" s="590"/>
      <c r="J70" s="579">
        <f>IF(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&gt;電機廠報告與驗收規範!$H$5,電機廠報告與驗收規範!$U$65,IF(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=電機廠報告與驗收規範!$L62,電機廠報告與驗收規範!$U63,IF(IF(電機廠報告與驗收規範!$N64=電機廠報告與驗收規範!$J$5,電機廠報告與驗收規範!$L64,IF(AND(電機廠報告與驗收規範!$N63&gt;電機廠報告與驗收規範!$N64,電機廠報告與驗收規範!$N63=電機廠報告與驗收規範!$J$5),電機廠報告與驗收規範!$L63,電機廠報告與驗收規範!$L62))=電機廠報告與驗收規範!$L61,電機廠報告與驗收規範!$U62,電機廠報告與驗收規範!$U61)))</f>
        <v>0</v>
      </c>
      <c r="K70" s="580"/>
      <c r="L70" s="589">
        <f t="shared" si="2"/>
        <v>21.99</v>
      </c>
      <c r="M70" s="599"/>
    </row>
    <row r="71" spans="3:13" x14ac:dyDescent="0.4">
      <c r="C71" s="403"/>
      <c r="D71" s="581">
        <f>IF(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&gt;電機廠報告與驗收規範!$H$5,電機廠報告與驗收規範!$H$5,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)</f>
        <v>6000</v>
      </c>
      <c r="E71" s="582"/>
      <c r="F71" s="581">
        <f>IF(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&gt;電機廠報告與驗收規範!$H$5,電機廠報告與驗收規範!$Q$65,IF(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=電機廠報告與驗收規範!$L63,電機廠報告與驗收規範!$Q64,IF(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=電機廠報告與驗收規範!$L62,電機廠報告與驗收規範!$Q63,電機廠報告與驗收規範!$Q62)))</f>
        <v>0</v>
      </c>
      <c r="G71" s="582"/>
      <c r="H71" s="581">
        <f>IF(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&gt;電機廠報告與驗收規範!$H$5,電機廠報告與驗收規範!$N$65,IF(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=電機廠報告與驗收規範!$L63,電機廠報告與驗收規範!$N64,IF(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=電機廠報告與驗收規範!$L62,電機廠報告與驗收規範!$N63,電機廠報告與驗收規範!$N62)))</f>
        <v>35</v>
      </c>
      <c r="I71" s="582"/>
      <c r="J71" s="581">
        <f>IF(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&gt;電機廠報告與驗收規範!$H$5,電機廠報告與驗收規範!$U$65,IF(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=電機廠報告與驗收規範!$L63,電機廠報告與驗收規範!$U64,IF(IF(電機廠報告與驗收規範!$N65=電機廠報告與驗收規範!$J$5,電機廠報告與驗收規範!$L65,IF(AND(電機廠報告與驗收規範!$N64&gt;電機廠報告與驗收規範!$N65,電機廠報告與驗收規範!$N64=電機廠報告與驗收規範!$J$5),電機廠報告與驗收規範!$L64,電機廠報告與驗收規範!$L63))=電機廠報告與驗收規範!$L62,電機廠報告與驗收規範!$U63,電機廠報告與驗收規範!$U62)))</f>
        <v>0</v>
      </c>
      <c r="K71" s="582"/>
      <c r="L71" s="581">
        <f>ROUND(2*PI()*D71*H71/60/1000,2)</f>
        <v>21.99</v>
      </c>
      <c r="M71" s="615"/>
    </row>
    <row r="72" spans="3:13" ht="17.5" thickBot="1" x14ac:dyDescent="0.45">
      <c r="C72" s="402"/>
      <c r="D72" s="619">
        <f>IF(IF(電機廠報告與驗收規範!$N67=電機廠報告與驗收規範!$J$5,電機廠報告與驗收規範!$L67,IF(AND(電機廠報告與驗收規範!$N66&gt;電機廠報告與驗收規範!$N67,電機廠報告與驗收規範!$N66=電機廠報告與驗收規範!$J$5),電機廠報告與驗收規範!$L66,電機廠報告與驗收規範!$L65))&gt;電機廠報告與驗收規範!$H$5,電機廠報告與驗收規範!$H$5,IF(電機廠報告與驗收規範!$N67=電機廠報告與驗收規範!$J$5,電機廠報告與驗收規範!$L67,IF(AND(電機廠報告與驗收規範!$N66&gt;電機廠報告與驗收規範!$N67,電機廠報告與驗收規範!$N66=電機廠報告與驗收規範!$J$5),電機廠報告與驗收規範!$L66,電機廠報告與驗收規範!$L65)))</f>
        <v>8000</v>
      </c>
      <c r="E72" s="620"/>
      <c r="F72" s="619">
        <f>IF(IF(電機廠報告與驗收規範!$N67=電機廠報告與驗收規範!$J$5,電機廠報告與驗收規範!$L67,IF(AND(電機廠報告與驗收規範!$N66&gt;電機廠報告與驗收規範!$N67,電機廠報告與驗收規範!$N66=電機廠報告與驗收規範!$J$5),電機廠報告與驗收規範!$L66,電機廠報告與驗收規範!$L65))&gt;電機廠報告與驗收規範!$H$5,電機廠報告與驗收規範!$Q$65,IF(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=電機廠報告與驗收規範!$L64,電機廠報告與驗收規範!$Q65,IF(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=電機廠報告與驗收規範!$L63,電機廠報告與驗收規範!$Q64,電機廠報告與驗收規範!$Q63)))</f>
        <v>0</v>
      </c>
      <c r="G72" s="620"/>
      <c r="H72" s="619">
        <f>IF(IF(電機廠報告與驗收規範!$N67=電機廠報告與驗收規範!$J$5,電機廠報告與驗收規範!$L67,IF(AND(電機廠報告與驗收規範!$N66&gt;電機廠報告與驗收規範!$N67,電機廠報告與驗收規範!$N66=電機廠報告與驗收規範!$J$5),電機廠報告與驗收規範!$L66,電機廠報告與驗收規範!$L65))&gt;電機廠報告與驗收規範!$H$5,電機廠報告與驗收規範!$N$65,IF(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=電機廠報告與驗收規範!$L64,電機廠報告與驗收規範!$N65,IF(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=電機廠報告與驗收規範!$L63,電機廠報告與驗收規範!$N64,電機廠報告與驗收規範!$N63)))</f>
        <v>26.25</v>
      </c>
      <c r="I72" s="620"/>
      <c r="J72" s="619">
        <f>IF(IF(電機廠報告與驗收規範!$N67=電機廠報告與驗收規範!$J$5,電機廠報告與驗收規範!$L67,IF(AND(電機廠報告與驗收規範!$N66&gt;電機廠報告與驗收規範!$N67,電機廠報告與驗收規範!$N66=電機廠報告與驗收規範!$J$5),電機廠報告與驗收規範!$L66,電機廠報告與驗收規範!$L65))&gt;電機廠報告與驗收規範!$H$5,電機廠報告與驗收規範!$U$65,IF(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=電機廠報告與驗收規範!$L64,電機廠報告與驗收規範!$U65,IF(IF(電機廠報告與驗收規範!$N66=電機廠報告與驗收規範!$J$5,電機廠報告與驗收規範!$L66,IF(AND(電機廠報告與驗收規範!$N65&gt;電機廠報告與驗收規範!$N66,電機廠報告與驗收規範!$N65=電機廠報告與驗收規範!$J$5),電機廠報告與驗收規範!$L65,電機廠報告與驗收規範!$L64))=電機廠報告與驗收規範!$L63,電機廠報告與驗收規範!$U64,電機廠報告與驗收規範!$U63)))</f>
        <v>0</v>
      </c>
      <c r="K72" s="620"/>
      <c r="L72" s="619">
        <f>ROUND(2*PI()*D72*H72/60/1000,2)</f>
        <v>21.99</v>
      </c>
      <c r="M72" s="621"/>
    </row>
    <row r="73" spans="3:13" x14ac:dyDescent="0.4">
      <c r="C73" s="611"/>
      <c r="D73" s="611"/>
      <c r="E73" s="611"/>
      <c r="F73" s="611"/>
      <c r="G73" s="611"/>
      <c r="H73" s="611"/>
      <c r="I73" s="611"/>
      <c r="J73" s="611"/>
      <c r="K73" s="611"/>
      <c r="L73" s="611"/>
      <c r="M73" s="611"/>
    </row>
    <row r="74" spans="3:13" x14ac:dyDescent="0.4">
      <c r="C74" s="611"/>
      <c r="D74" s="611"/>
      <c r="E74" s="611"/>
      <c r="F74" s="611"/>
      <c r="G74" s="611"/>
      <c r="H74" s="611"/>
      <c r="I74" s="611"/>
      <c r="J74" s="611"/>
      <c r="K74" s="611"/>
      <c r="L74" s="611"/>
      <c r="M74" s="611"/>
    </row>
    <row r="75" spans="3:13" x14ac:dyDescent="0.4">
      <c r="C75" s="611"/>
      <c r="D75" s="611"/>
      <c r="E75" s="611"/>
      <c r="F75" s="611"/>
      <c r="G75" s="611"/>
      <c r="H75" s="611"/>
      <c r="I75" s="611"/>
      <c r="J75" s="611"/>
      <c r="K75" s="611"/>
      <c r="L75" s="611"/>
      <c r="M75" s="611"/>
    </row>
    <row r="76" spans="3:13" x14ac:dyDescent="0.4">
      <c r="C76" s="611"/>
      <c r="D76" s="611"/>
      <c r="E76" s="611"/>
      <c r="F76" s="611"/>
      <c r="G76" s="611"/>
      <c r="H76" s="611"/>
      <c r="I76" s="611"/>
      <c r="J76" s="611"/>
      <c r="K76" s="611"/>
      <c r="L76" s="611"/>
      <c r="M76" s="611"/>
    </row>
    <row r="77" spans="3:13" x14ac:dyDescent="0.4">
      <c r="C77" s="611"/>
      <c r="D77" s="611"/>
      <c r="E77" s="611"/>
      <c r="F77" s="611"/>
      <c r="G77" s="611"/>
      <c r="H77" s="611"/>
      <c r="I77" s="611"/>
      <c r="J77" s="611"/>
      <c r="K77" s="611"/>
      <c r="L77" s="611"/>
      <c r="M77" s="611"/>
    </row>
    <row r="78" spans="3:13" x14ac:dyDescent="0.4">
      <c r="C78" s="611"/>
      <c r="D78" s="611"/>
      <c r="E78" s="611"/>
      <c r="F78" s="611"/>
      <c r="G78" s="611"/>
      <c r="H78" s="611"/>
      <c r="I78" s="611"/>
      <c r="J78" s="611"/>
      <c r="K78" s="611"/>
      <c r="L78" s="611"/>
      <c r="M78" s="611"/>
    </row>
    <row r="79" spans="3:13" x14ac:dyDescent="0.4">
      <c r="C79" s="611"/>
      <c r="D79" s="611"/>
      <c r="E79" s="611"/>
      <c r="F79" s="611"/>
      <c r="G79" s="611"/>
      <c r="H79" s="611"/>
      <c r="I79" s="611"/>
      <c r="J79" s="611"/>
      <c r="K79" s="611"/>
      <c r="L79" s="611"/>
      <c r="M79" s="611"/>
    </row>
    <row r="80" spans="3:13" x14ac:dyDescent="0.4">
      <c r="C80" s="611"/>
      <c r="D80" s="611"/>
      <c r="E80" s="611"/>
      <c r="F80" s="611"/>
      <c r="G80" s="611"/>
      <c r="H80" s="611"/>
      <c r="I80" s="611"/>
      <c r="J80" s="611"/>
      <c r="K80" s="611"/>
      <c r="L80" s="611"/>
      <c r="M80" s="611"/>
    </row>
    <row r="81" spans="3:13" x14ac:dyDescent="0.4">
      <c r="C81" s="611"/>
      <c r="D81" s="611"/>
      <c r="E81" s="611"/>
      <c r="F81" s="611"/>
      <c r="G81" s="611"/>
      <c r="H81" s="611"/>
      <c r="I81" s="611"/>
      <c r="J81" s="611"/>
      <c r="K81" s="611"/>
      <c r="L81" s="611"/>
      <c r="M81" s="611"/>
    </row>
    <row r="82" spans="3:13" x14ac:dyDescent="0.4">
      <c r="C82" s="611"/>
      <c r="D82" s="611"/>
      <c r="E82" s="611"/>
      <c r="F82" s="611"/>
      <c r="G82" s="611"/>
      <c r="H82" s="611"/>
      <c r="I82" s="611"/>
      <c r="J82" s="611"/>
      <c r="K82" s="611"/>
      <c r="L82" s="611"/>
      <c r="M82" s="611"/>
    </row>
    <row r="83" spans="3:13" x14ac:dyDescent="0.4"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1"/>
    </row>
  </sheetData>
  <sheetProtection formatCells="0" formatColumns="0" formatRows="0" insertColumns="0" insertRows="0"/>
  <mergeCells count="233">
    <mergeCell ref="S4:T4"/>
    <mergeCell ref="AA4:AB4"/>
    <mergeCell ref="L80:M80"/>
    <mergeCell ref="L81:M81"/>
    <mergeCell ref="L82:M82"/>
    <mergeCell ref="L83:M83"/>
    <mergeCell ref="H80:I80"/>
    <mergeCell ref="H81:I81"/>
    <mergeCell ref="H82:I82"/>
    <mergeCell ref="H83:I8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H75:I75"/>
    <mergeCell ref="H76:I76"/>
    <mergeCell ref="H77:I77"/>
    <mergeCell ref="H78:I78"/>
    <mergeCell ref="D81:E81"/>
    <mergeCell ref="D82:E82"/>
    <mergeCell ref="D83:E83"/>
    <mergeCell ref="C73:C8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D74:E74"/>
    <mergeCell ref="D77:E77"/>
    <mergeCell ref="D78:E78"/>
    <mergeCell ref="D79:E79"/>
    <mergeCell ref="D80:E80"/>
    <mergeCell ref="D75:E75"/>
    <mergeCell ref="D76:E76"/>
    <mergeCell ref="D71:E71"/>
    <mergeCell ref="D72:E72"/>
    <mergeCell ref="F71:G71"/>
    <mergeCell ref="F72:G72"/>
    <mergeCell ref="D73:E73"/>
    <mergeCell ref="F73:G73"/>
    <mergeCell ref="H73:I73"/>
    <mergeCell ref="J73:K73"/>
    <mergeCell ref="L73:M73"/>
    <mergeCell ref="J72:K72"/>
    <mergeCell ref="H72:I72"/>
    <mergeCell ref="L72:M72"/>
    <mergeCell ref="H79:I79"/>
    <mergeCell ref="L75:M75"/>
    <mergeCell ref="L76:M76"/>
    <mergeCell ref="L77:M77"/>
    <mergeCell ref="L78:M78"/>
    <mergeCell ref="L79:M79"/>
    <mergeCell ref="L74:M74"/>
    <mergeCell ref="F40:G40"/>
    <mergeCell ref="H40:I40"/>
    <mergeCell ref="L40:M40"/>
    <mergeCell ref="H71:I71"/>
    <mergeCell ref="H74:I74"/>
    <mergeCell ref="L65:M65"/>
    <mergeCell ref="L66:M66"/>
    <mergeCell ref="L67:M67"/>
    <mergeCell ref="L68:M68"/>
    <mergeCell ref="L69:M69"/>
    <mergeCell ref="L70:M70"/>
    <mergeCell ref="H51:I51"/>
    <mergeCell ref="L51:M51"/>
    <mergeCell ref="L71:M71"/>
    <mergeCell ref="L60:M60"/>
    <mergeCell ref="H59:I59"/>
    <mergeCell ref="H60:I60"/>
    <mergeCell ref="H68:I68"/>
    <mergeCell ref="H69:I69"/>
    <mergeCell ref="H70:I70"/>
    <mergeCell ref="D69:E69"/>
    <mergeCell ref="D68:E68"/>
    <mergeCell ref="D70:E70"/>
    <mergeCell ref="F69:G69"/>
    <mergeCell ref="F70:G70"/>
    <mergeCell ref="F68:G68"/>
    <mergeCell ref="L56:M56"/>
    <mergeCell ref="L57:M57"/>
    <mergeCell ref="D56:E56"/>
    <mergeCell ref="D55:E55"/>
    <mergeCell ref="D57:E57"/>
    <mergeCell ref="D51:E51"/>
    <mergeCell ref="D52:E52"/>
    <mergeCell ref="D53:E53"/>
    <mergeCell ref="D54:E54"/>
    <mergeCell ref="F57:G57"/>
    <mergeCell ref="L52:M52"/>
    <mergeCell ref="L53:M53"/>
    <mergeCell ref="L54:M54"/>
    <mergeCell ref="H53:I53"/>
    <mergeCell ref="H54:I54"/>
    <mergeCell ref="H55:I55"/>
    <mergeCell ref="H56:I56"/>
    <mergeCell ref="H57:I57"/>
    <mergeCell ref="J55:K55"/>
    <mergeCell ref="J56:K56"/>
    <mergeCell ref="J57:K57"/>
    <mergeCell ref="J49:K49"/>
    <mergeCell ref="J51:K51"/>
    <mergeCell ref="J52:K52"/>
    <mergeCell ref="J53:K53"/>
    <mergeCell ref="J54:K54"/>
    <mergeCell ref="J50:K50"/>
    <mergeCell ref="F48:G48"/>
    <mergeCell ref="D49:E49"/>
    <mergeCell ref="L55:M55"/>
    <mergeCell ref="L39:M39"/>
    <mergeCell ref="H48:I48"/>
    <mergeCell ref="L48:M48"/>
    <mergeCell ref="H52:I52"/>
    <mergeCell ref="F44:G44"/>
    <mergeCell ref="F45:G45"/>
    <mergeCell ref="F46:G46"/>
    <mergeCell ref="F47:G47"/>
    <mergeCell ref="J47:K47"/>
    <mergeCell ref="J48:K48"/>
    <mergeCell ref="L41:M41"/>
    <mergeCell ref="L42:M42"/>
    <mergeCell ref="L43:M43"/>
    <mergeCell ref="L44:M44"/>
    <mergeCell ref="L45:M45"/>
    <mergeCell ref="L47:M47"/>
    <mergeCell ref="L49:M49"/>
    <mergeCell ref="J39:K39"/>
    <mergeCell ref="J40:K40"/>
    <mergeCell ref="J41:K41"/>
    <mergeCell ref="J42:K42"/>
    <mergeCell ref="J43:K43"/>
    <mergeCell ref="L46:M46"/>
    <mergeCell ref="H41:I41"/>
    <mergeCell ref="H63:I63"/>
    <mergeCell ref="L63:M63"/>
    <mergeCell ref="D63:E63"/>
    <mergeCell ref="F63:G63"/>
    <mergeCell ref="D62:E62"/>
    <mergeCell ref="F62:G62"/>
    <mergeCell ref="D58:E58"/>
    <mergeCell ref="D59:E59"/>
    <mergeCell ref="D60:E60"/>
    <mergeCell ref="L61:M61"/>
    <mergeCell ref="F58:G58"/>
    <mergeCell ref="F59:G59"/>
    <mergeCell ref="F60:G60"/>
    <mergeCell ref="L58:M58"/>
    <mergeCell ref="L59:M59"/>
    <mergeCell ref="H58:I58"/>
    <mergeCell ref="J58:K58"/>
    <mergeCell ref="D40:E40"/>
    <mergeCell ref="D41:E41"/>
    <mergeCell ref="D42:E42"/>
    <mergeCell ref="D43:E43"/>
    <mergeCell ref="D44:E44"/>
    <mergeCell ref="D45:E45"/>
    <mergeCell ref="D46:E46"/>
    <mergeCell ref="D47:E47"/>
    <mergeCell ref="L62:M62"/>
    <mergeCell ref="F52:G52"/>
    <mergeCell ref="F53:G53"/>
    <mergeCell ref="F54:G54"/>
    <mergeCell ref="F55:G55"/>
    <mergeCell ref="H42:I42"/>
    <mergeCell ref="H43:I43"/>
    <mergeCell ref="H44:I44"/>
    <mergeCell ref="H45:I45"/>
    <mergeCell ref="J44:K44"/>
    <mergeCell ref="J45:K45"/>
    <mergeCell ref="J46:K46"/>
    <mergeCell ref="F49:G49"/>
    <mergeCell ref="F51:G51"/>
    <mergeCell ref="L50:M50"/>
    <mergeCell ref="D48:E48"/>
    <mergeCell ref="J65:K65"/>
    <mergeCell ref="J66:K66"/>
    <mergeCell ref="J67:K67"/>
    <mergeCell ref="D61:E61"/>
    <mergeCell ref="H64:I64"/>
    <mergeCell ref="L64:M64"/>
    <mergeCell ref="D64:E64"/>
    <mergeCell ref="C39:C49"/>
    <mergeCell ref="H46:I46"/>
    <mergeCell ref="H47:I47"/>
    <mergeCell ref="H49:I49"/>
    <mergeCell ref="H39:I39"/>
    <mergeCell ref="J61:K61"/>
    <mergeCell ref="D65:E65"/>
    <mergeCell ref="D66:E66"/>
    <mergeCell ref="C50:C60"/>
    <mergeCell ref="D50:E50"/>
    <mergeCell ref="F50:G50"/>
    <mergeCell ref="H50:I50"/>
    <mergeCell ref="C61:C72"/>
    <mergeCell ref="F39:G39"/>
    <mergeCell ref="F41:G41"/>
    <mergeCell ref="F42:G42"/>
    <mergeCell ref="D39:E39"/>
    <mergeCell ref="A3:B49"/>
    <mergeCell ref="J68:K68"/>
    <mergeCell ref="J69:K69"/>
    <mergeCell ref="J70:K70"/>
    <mergeCell ref="J71:K71"/>
    <mergeCell ref="J60:K60"/>
    <mergeCell ref="J59:K59"/>
    <mergeCell ref="J62:K62"/>
    <mergeCell ref="F65:G65"/>
    <mergeCell ref="F56:G56"/>
    <mergeCell ref="H62:I62"/>
    <mergeCell ref="H65:I65"/>
    <mergeCell ref="F61:G61"/>
    <mergeCell ref="H61:I61"/>
    <mergeCell ref="D67:E67"/>
    <mergeCell ref="F64:G64"/>
    <mergeCell ref="F67:G67"/>
    <mergeCell ref="F66:G66"/>
    <mergeCell ref="J63:K63"/>
    <mergeCell ref="J64:K64"/>
    <mergeCell ref="H66:I66"/>
    <mergeCell ref="H67:I67"/>
    <mergeCell ref="C38:M38"/>
    <mergeCell ref="F43:G43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2"/>
  <sheetViews>
    <sheetView topLeftCell="A217" zoomScale="75" zoomScaleNormal="75" workbookViewId="0">
      <selection activeCell="J91" sqref="J91"/>
    </sheetView>
  </sheetViews>
  <sheetFormatPr defaultColWidth="8.90625" defaultRowHeight="17" x14ac:dyDescent="0.4"/>
  <cols>
    <col min="1" max="1" width="5" style="123" customWidth="1"/>
    <col min="2" max="2" width="28.453125" style="123" bestFit="1" customWidth="1"/>
    <col min="3" max="3" width="43.453125" style="123" customWidth="1"/>
    <col min="4" max="4" width="13.90625" style="123" bestFit="1" customWidth="1"/>
    <col min="5" max="6" width="16.7265625" style="123" bestFit="1" customWidth="1"/>
    <col min="7" max="7" width="15.90625" style="123" customWidth="1"/>
    <col min="8" max="8" width="27.7265625" style="123" customWidth="1"/>
    <col min="9" max="9" width="25.453125" style="123" customWidth="1"/>
    <col min="10" max="10" width="20.26953125" style="123" customWidth="1"/>
    <col min="11" max="11" width="18.90625" style="123" bestFit="1" customWidth="1"/>
    <col min="12" max="12" width="42.08984375" style="123" customWidth="1"/>
    <col min="13" max="13" width="22.08984375" style="123" customWidth="1"/>
    <col min="14" max="14" width="8.90625" style="123"/>
    <col min="15" max="16" width="31.90625" style="123" bestFit="1" customWidth="1"/>
    <col min="17" max="16384" width="8.90625" style="123"/>
  </cols>
  <sheetData>
    <row r="1" spans="1:17" ht="17.5" thickBot="1" x14ac:dyDescent="0.45">
      <c r="A1" s="119" t="s">
        <v>289</v>
      </c>
      <c r="B1" s="120" t="s">
        <v>290</v>
      </c>
      <c r="C1" s="121" t="s">
        <v>291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O1" s="671" t="s">
        <v>292</v>
      </c>
      <c r="P1" s="124" t="s">
        <v>293</v>
      </c>
      <c r="Q1" s="125">
        <v>0.05</v>
      </c>
    </row>
    <row r="2" spans="1:17" ht="17.5" thickBot="1" x14ac:dyDescent="0.45">
      <c r="A2" s="126"/>
      <c r="B2" s="127"/>
      <c r="C2" s="679" t="s">
        <v>48</v>
      </c>
      <c r="D2" s="639" t="str">
        <f>電機廠報告與驗收規範!J13</f>
        <v>參數來源</v>
      </c>
      <c r="E2" s="637" t="str">
        <f>電機廠報告與驗收規範!J15</f>
        <v>規格書(設計值)</v>
      </c>
      <c r="F2" s="637" t="str">
        <f>電機廠報告與驗收規範!J14</f>
        <v>量測數值</v>
      </c>
      <c r="G2" s="635" t="s">
        <v>294</v>
      </c>
      <c r="H2" s="637" t="s">
        <v>295</v>
      </c>
      <c r="I2" s="637" t="s">
        <v>296</v>
      </c>
      <c r="J2" s="635" t="s">
        <v>297</v>
      </c>
      <c r="K2" s="637" t="s">
        <v>295</v>
      </c>
      <c r="L2" s="631" t="s">
        <v>296</v>
      </c>
      <c r="M2" s="122"/>
      <c r="O2" s="672"/>
      <c r="P2" s="128" t="s">
        <v>298</v>
      </c>
      <c r="Q2" s="129">
        <v>0.05</v>
      </c>
    </row>
    <row r="3" spans="1:17" x14ac:dyDescent="0.4">
      <c r="A3" s="623">
        <f>電機廠報告與驗收規範!C13</f>
        <v>3</v>
      </c>
      <c r="B3" s="625" t="str">
        <f>電機廠報告與驗收規範!D13</f>
        <v>繞組電阻測試</v>
      </c>
      <c r="C3" s="680"/>
      <c r="D3" s="640"/>
      <c r="E3" s="638"/>
      <c r="F3" s="638"/>
      <c r="G3" s="636"/>
      <c r="H3" s="638"/>
      <c r="I3" s="638"/>
      <c r="J3" s="636"/>
      <c r="K3" s="638"/>
      <c r="L3" s="632"/>
      <c r="M3" s="122"/>
      <c r="O3" s="671" t="s">
        <v>299</v>
      </c>
      <c r="P3" s="124" t="s">
        <v>300</v>
      </c>
      <c r="Q3" s="125">
        <v>0.03</v>
      </c>
    </row>
    <row r="4" spans="1:17" x14ac:dyDescent="0.4">
      <c r="A4" s="640"/>
      <c r="B4" s="638"/>
      <c r="C4" s="680"/>
      <c r="D4" s="130" t="str">
        <f>電機廠報告與驗收規範!L13</f>
        <v>Ru-v(Ω)</v>
      </c>
      <c r="E4" s="131">
        <f>電機廠報告與驗收規範!L15</f>
        <v>0.27</v>
      </c>
      <c r="F4" s="132">
        <f>電機廠報告與驗收規範!L14</f>
        <v>0.27</v>
      </c>
      <c r="G4" s="133">
        <f>(F4-$F$7)/$F$7</f>
        <v>0</v>
      </c>
      <c r="H4" s="131" t="str">
        <f>IF(ABS(G4)&lt;$Q$1,"Yes","No")</f>
        <v>Yes</v>
      </c>
      <c r="I4" s="131" t="str">
        <f>IF(H4="No",_xlfn.TEXTJOIN("",TRUE,"線電阻與平均值誤差&gt;",$Q$1*100,"%"),"")</f>
        <v/>
      </c>
      <c r="J4" s="134"/>
      <c r="K4" s="134"/>
      <c r="L4" s="135"/>
      <c r="M4" s="122"/>
      <c r="O4" s="672"/>
      <c r="P4" s="136" t="s">
        <v>301</v>
      </c>
      <c r="Q4" s="137">
        <v>5</v>
      </c>
    </row>
    <row r="5" spans="1:17" x14ac:dyDescent="0.4">
      <c r="A5" s="640"/>
      <c r="B5" s="638"/>
      <c r="C5" s="680"/>
      <c r="D5" s="130" t="str">
        <f>電機廠報告與驗收規範!M13</f>
        <v>Rv-w(Ω)</v>
      </c>
      <c r="E5" s="131">
        <f>電機廠報告與驗收規範!M15</f>
        <v>0.27</v>
      </c>
      <c r="F5" s="132">
        <f>電機廠報告與驗收規範!M14</f>
        <v>0.27</v>
      </c>
      <c r="G5" s="133">
        <f>(F5-$F$7)/$F$7</f>
        <v>0</v>
      </c>
      <c r="H5" s="131" t="str">
        <f>IF(ABS(G5)&lt;$Q$1,"Yes","No")</f>
        <v>Yes</v>
      </c>
      <c r="I5" s="131" t="str">
        <f>IF(H5="No",_xlfn.TEXTJOIN("",TRUE,"線電阻與平均值誤差&gt;",$Q$1*100,"%"),"")</f>
        <v/>
      </c>
      <c r="J5" s="134"/>
      <c r="K5" s="134"/>
      <c r="L5" s="135"/>
      <c r="M5" s="122"/>
      <c r="O5" s="672"/>
      <c r="P5" s="136" t="s">
        <v>302</v>
      </c>
      <c r="Q5" s="138">
        <v>0.03</v>
      </c>
    </row>
    <row r="6" spans="1:17" x14ac:dyDescent="0.4">
      <c r="A6" s="640"/>
      <c r="B6" s="638"/>
      <c r="C6" s="680"/>
      <c r="D6" s="130" t="str">
        <f>電機廠報告與驗收規範!N13</f>
        <v>Ru-w(Ω)</v>
      </c>
      <c r="E6" s="131">
        <f>電機廠報告與驗收規範!N15</f>
        <v>0.27</v>
      </c>
      <c r="F6" s="132">
        <f>電機廠報告與驗收規範!N14</f>
        <v>0.27</v>
      </c>
      <c r="G6" s="133">
        <f>(F6-$F$7)/$F$7</f>
        <v>0</v>
      </c>
      <c r="H6" s="131" t="str">
        <f>IF(ABS(G6)&lt;$Q$1,"Yes","No")</f>
        <v>Yes</v>
      </c>
      <c r="I6" s="131" t="str">
        <f>IF(H6="No",_xlfn.TEXTJOIN("",TRUE,"線電阻與平均值誤差&gt;",$Q$1*100,"%"),"")</f>
        <v/>
      </c>
      <c r="J6" s="134"/>
      <c r="K6" s="134"/>
      <c r="L6" s="135"/>
      <c r="M6" s="122"/>
      <c r="O6" s="672"/>
      <c r="P6" s="136" t="s">
        <v>303</v>
      </c>
      <c r="Q6" s="138">
        <v>0.01</v>
      </c>
    </row>
    <row r="7" spans="1:17" ht="17.5" thickBot="1" x14ac:dyDescent="0.45">
      <c r="A7" s="660"/>
      <c r="B7" s="654"/>
      <c r="C7" s="681"/>
      <c r="D7" s="139" t="str">
        <f>電機廠報告與驗收規範!O13</f>
        <v>Ravg (Ω)</v>
      </c>
      <c r="E7" s="140">
        <f>電機廠報告與驗收規範!O15</f>
        <v>0.27</v>
      </c>
      <c r="F7" s="141">
        <f>電機廠報告與驗收規範!O14</f>
        <v>0.27</v>
      </c>
      <c r="G7" s="142"/>
      <c r="H7" s="142"/>
      <c r="I7" s="142"/>
      <c r="J7" s="143">
        <f>電機廠報告與驗收規範!O16</f>
        <v>0</v>
      </c>
      <c r="K7" s="140" t="str">
        <f>IF(ABS(J7)&lt;Q2,"Yes","No")</f>
        <v>Yes</v>
      </c>
      <c r="L7" s="144" t="str">
        <f>IF(K7="No",_xlfn.TEXTJOIN("",TRUE,"電阻量測平均值與設計值誤差&gt;",$Q$2*100,"%"),"")</f>
        <v/>
      </c>
      <c r="M7" s="122"/>
      <c r="O7" s="672"/>
      <c r="P7" s="136" t="s">
        <v>304</v>
      </c>
      <c r="Q7" s="145">
        <v>0.05</v>
      </c>
    </row>
    <row r="8" spans="1:17" ht="16.149999999999999" customHeight="1" x14ac:dyDescent="0.4">
      <c r="A8" s="639">
        <f>電機廠報告與驗收規範!C31</f>
        <v>10</v>
      </c>
      <c r="B8" s="637" t="str">
        <f>電機廠報告與驗收規範!D31</f>
        <v>S1
100%負載連續使用測試</v>
      </c>
      <c r="C8" s="674" t="s">
        <v>305</v>
      </c>
      <c r="D8" s="656" t="s">
        <v>306</v>
      </c>
      <c r="E8" s="678" t="s">
        <v>307</v>
      </c>
      <c r="F8" s="678" t="s">
        <v>308</v>
      </c>
      <c r="G8" s="658" t="s">
        <v>309</v>
      </c>
      <c r="H8" s="659" t="s">
        <v>295</v>
      </c>
      <c r="I8" s="651" t="s">
        <v>296</v>
      </c>
      <c r="J8" s="122"/>
      <c r="K8" s="122"/>
      <c r="L8" s="122"/>
      <c r="M8" s="122"/>
      <c r="O8" s="672"/>
      <c r="P8" s="136" t="s">
        <v>310</v>
      </c>
      <c r="Q8" s="145">
        <v>0.05</v>
      </c>
    </row>
    <row r="9" spans="1:17" x14ac:dyDescent="0.4">
      <c r="A9" s="640"/>
      <c r="B9" s="638"/>
      <c r="C9" s="675"/>
      <c r="D9" s="657"/>
      <c r="E9" s="647"/>
      <c r="F9" s="647"/>
      <c r="G9" s="650"/>
      <c r="H9" s="625"/>
      <c r="I9" s="632"/>
      <c r="J9" s="122"/>
      <c r="K9" s="122"/>
      <c r="L9" s="122"/>
      <c r="M9" s="122"/>
      <c r="O9" s="672"/>
      <c r="P9" s="136" t="s">
        <v>311</v>
      </c>
      <c r="Q9" s="138">
        <v>0.05</v>
      </c>
    </row>
    <row r="10" spans="1:17" x14ac:dyDescent="0.4">
      <c r="A10" s="640"/>
      <c r="B10" s="638"/>
      <c r="C10" s="675"/>
      <c r="D10" s="146">
        <f>電機廠報告與驗收規範!$J$33</f>
        <v>0.5</v>
      </c>
      <c r="E10" s="131">
        <f>電機廠報告與驗收規範!$J$3*D10</f>
        <v>750</v>
      </c>
      <c r="F10" s="132">
        <f>IF(電機廠報告與驗收規範!N33="","-",電機廠報告與驗收規範!N33)</f>
        <v>749</v>
      </c>
      <c r="G10" s="147">
        <f>IF(F10&lt;&gt;"-",(F10-E10)/E10,"-")</f>
        <v>-1.3333333333333333E-3</v>
      </c>
      <c r="H10" s="131" t="e" cm="1">
        <f t="array" aca="1" ref="H10" ca="1">_xlfn.IFS(G10="-","-",ABS(G10)&lt;=$Q$3,"Yes",TRUE,"No")</f>
        <v>#NAME?</v>
      </c>
      <c r="I10" s="148" t="e">
        <f ca="1">IF(H10="No",_xlfn.TEXTJOIN("",TRUE,"轉速誤差&gt;",$Q$3*100,"%"),"")</f>
        <v>#NAME?</v>
      </c>
      <c r="J10" s="122"/>
      <c r="K10" s="122"/>
      <c r="L10" s="122"/>
      <c r="M10" s="122"/>
      <c r="O10" s="672"/>
      <c r="P10" s="136" t="s">
        <v>312</v>
      </c>
      <c r="Q10" s="138">
        <v>0.03</v>
      </c>
    </row>
    <row r="11" spans="1:17" x14ac:dyDescent="0.4">
      <c r="A11" s="640"/>
      <c r="B11" s="638"/>
      <c r="C11" s="675"/>
      <c r="D11" s="146">
        <f>電機廠報告與驗收規範!$J$34</f>
        <v>1</v>
      </c>
      <c r="E11" s="131">
        <f>電機廠報告與驗收規範!$J$3*D11</f>
        <v>1500</v>
      </c>
      <c r="F11" s="132">
        <f>IF(電機廠報告與驗收規範!N34="","-",電機廠報告與驗收規範!N34)</f>
        <v>1502</v>
      </c>
      <c r="G11" s="149">
        <f>IF(F11&lt;&gt;"-",F11-E11,"-")</f>
        <v>2</v>
      </c>
      <c r="H11" s="131" t="e" cm="1">
        <f t="array" aca="1" ref="H11" ca="1">_xlfn.IFS(G11="-","-",ABS(G11)&lt;=$Q$4,"Yes",TRUE,"No")</f>
        <v>#NAME?</v>
      </c>
      <c r="I11" s="148" t="e">
        <f ca="1">IF(H11="No",_xlfn.TEXTJOIN("",TRUE,"轉速誤差&gt;",Q4,"rpm"),"")</f>
        <v>#NAME?</v>
      </c>
      <c r="J11" s="122"/>
      <c r="K11" s="122"/>
      <c r="L11" s="122"/>
      <c r="M11" s="122"/>
      <c r="O11" s="672"/>
      <c r="P11" s="136" t="s">
        <v>313</v>
      </c>
      <c r="Q11" s="138">
        <v>0.05</v>
      </c>
    </row>
    <row r="12" spans="1:17" x14ac:dyDescent="0.4">
      <c r="A12" s="640"/>
      <c r="B12" s="638"/>
      <c r="C12" s="675"/>
      <c r="D12" s="146">
        <f>電機廠報告與驗收規範!$J$35</f>
        <v>1.5</v>
      </c>
      <c r="E12" s="131">
        <f>電機廠報告與驗收規範!$J$3*D12</f>
        <v>2250</v>
      </c>
      <c r="F12" s="132" t="str">
        <f>IF(電機廠報告與驗收規範!N35="","-",電機廠報告與驗收規範!N35)</f>
        <v>-</v>
      </c>
      <c r="G12" s="147" t="str">
        <f t="shared" ref="G12:G18" si="0">IF(F12&lt;&gt;"-",(F12-E12)/E12,"-")</f>
        <v>-</v>
      </c>
      <c r="H12" s="131" t="e" cm="1">
        <f t="array" aca="1" ref="H12" ca="1">_xlfn.IFS(G12="-","-",ABS(G12)&lt;=$Q$3,"Yes",TRUE,"No")</f>
        <v>#NAME?</v>
      </c>
      <c r="I12" s="148" t="e">
        <f t="shared" ref="I12:I18" ca="1" si="1">IF(H12="No",_xlfn.TEXTJOIN("",TRUE,"轉速誤差&gt;",$Q$3*100,"%"),"")</f>
        <v>#NAME?</v>
      </c>
      <c r="J12" s="122"/>
      <c r="K12" s="122"/>
      <c r="L12" s="122"/>
      <c r="M12" s="122"/>
      <c r="O12" s="672"/>
      <c r="P12" s="136" t="s">
        <v>314</v>
      </c>
      <c r="Q12" s="138">
        <v>0.03</v>
      </c>
    </row>
    <row r="13" spans="1:17" x14ac:dyDescent="0.4">
      <c r="A13" s="640"/>
      <c r="B13" s="638"/>
      <c r="C13" s="675"/>
      <c r="D13" s="146">
        <f>電機廠報告與驗收規範!$J$36</f>
        <v>2</v>
      </c>
      <c r="E13" s="131">
        <f>電機廠報告與驗收規範!$J$3*D13</f>
        <v>3000</v>
      </c>
      <c r="F13" s="132" t="str">
        <f>IF(電機廠報告與驗收規範!N36="","-",電機廠報告與驗收規範!N36)</f>
        <v>-</v>
      </c>
      <c r="G13" s="147" t="str">
        <f t="shared" si="0"/>
        <v>-</v>
      </c>
      <c r="H13" s="131" t="e" cm="1">
        <f t="array" aca="1" ref="H13" ca="1">_xlfn.IFS(G13="-","-",ABS(G13)&lt;=$Q$3,"Yes",TRUE,"No")</f>
        <v>#NAME?</v>
      </c>
      <c r="I13" s="148" t="e">
        <f t="shared" ca="1" si="1"/>
        <v>#NAME?</v>
      </c>
      <c r="J13" s="122"/>
      <c r="K13" s="122"/>
      <c r="L13" s="122"/>
      <c r="M13" s="122"/>
      <c r="O13" s="672"/>
      <c r="P13" s="136" t="s">
        <v>315</v>
      </c>
      <c r="Q13" s="138">
        <v>0.03</v>
      </c>
    </row>
    <row r="14" spans="1:17" ht="17.5" thickBot="1" x14ac:dyDescent="0.45">
      <c r="A14" s="640"/>
      <c r="B14" s="638"/>
      <c r="C14" s="675"/>
      <c r="D14" s="146">
        <f>電機廠報告與驗收規範!$J$37</f>
        <v>2.5</v>
      </c>
      <c r="E14" s="131">
        <f>電機廠報告與驗收規範!$J$3*D14</f>
        <v>3750</v>
      </c>
      <c r="F14" s="132" t="str">
        <f>IF(電機廠報告與驗收規範!N37="","-",電機廠報告與驗收規範!N37)</f>
        <v>-</v>
      </c>
      <c r="G14" s="147" t="str">
        <f t="shared" si="0"/>
        <v>-</v>
      </c>
      <c r="H14" s="131" t="e" cm="1">
        <f t="array" aca="1" ref="H14" ca="1">_xlfn.IFS(G14="-","-",ABS(G14)&lt;=$Q$3,"Yes",TRUE,"No")</f>
        <v>#NAME?</v>
      </c>
      <c r="I14" s="148" t="e">
        <f t="shared" ca="1" si="1"/>
        <v>#NAME?</v>
      </c>
      <c r="J14" s="122"/>
      <c r="K14" s="122"/>
      <c r="L14" s="122"/>
      <c r="M14" s="122"/>
      <c r="O14" s="673"/>
      <c r="P14" s="128" t="s">
        <v>316</v>
      </c>
      <c r="Q14" s="129">
        <v>0.05</v>
      </c>
    </row>
    <row r="15" spans="1:17" ht="14.5" customHeight="1" x14ac:dyDescent="0.4">
      <c r="A15" s="640"/>
      <c r="B15" s="638"/>
      <c r="C15" s="675"/>
      <c r="D15" s="146">
        <f>電機廠報告與驗收規範!$J$38</f>
        <v>3</v>
      </c>
      <c r="E15" s="131">
        <f>電機廠報告與驗收規範!$J$3*D15</f>
        <v>4500</v>
      </c>
      <c r="F15" s="132" t="str">
        <f>IF(電機廠報告與驗收規範!N38="","-",電機廠報告與驗收規範!N38)</f>
        <v>-</v>
      </c>
      <c r="G15" s="147" t="str">
        <f t="shared" si="0"/>
        <v>-</v>
      </c>
      <c r="H15" s="131" t="e" cm="1">
        <f t="array" aca="1" ref="H15" ca="1">_xlfn.IFS(G15="-","-",ABS(G15)&lt;=$Q$3,"Yes",TRUE,"No")</f>
        <v>#NAME?</v>
      </c>
      <c r="I15" s="148" t="e">
        <f t="shared" ca="1" si="1"/>
        <v>#NAME?</v>
      </c>
      <c r="J15" s="122"/>
      <c r="K15" s="122"/>
      <c r="L15" s="122"/>
      <c r="M15" s="122"/>
      <c r="O15" s="671" t="s">
        <v>317</v>
      </c>
      <c r="P15" s="124" t="s">
        <v>318</v>
      </c>
      <c r="Q15" s="125">
        <v>0.05</v>
      </c>
    </row>
    <row r="16" spans="1:17" x14ac:dyDescent="0.4">
      <c r="A16" s="640"/>
      <c r="B16" s="638"/>
      <c r="C16" s="675"/>
      <c r="D16" s="146">
        <f>電機廠報告與驗收規範!$J$39</f>
        <v>3.5</v>
      </c>
      <c r="E16" s="131">
        <f>電機廠報告與驗收規範!$J$3*D16</f>
        <v>5250</v>
      </c>
      <c r="F16" s="132" t="str">
        <f>IF(電機廠報告與驗收規範!N39="","-",電機廠報告與驗收規範!N39)</f>
        <v>-</v>
      </c>
      <c r="G16" s="147" t="str">
        <f t="shared" si="0"/>
        <v>-</v>
      </c>
      <c r="H16" s="131" t="e" cm="1">
        <f t="array" aca="1" ref="H16" ca="1">_xlfn.IFS(G16="-","-",ABS(G16)&lt;=$Q$3,"Yes",TRUE,"No")</f>
        <v>#NAME?</v>
      </c>
      <c r="I16" s="148" t="e">
        <f t="shared" ca="1" si="1"/>
        <v>#NAME?</v>
      </c>
      <c r="J16" s="122"/>
      <c r="K16" s="122"/>
      <c r="L16" s="122"/>
      <c r="M16" s="122"/>
      <c r="O16" s="672"/>
      <c r="P16" s="136" t="s">
        <v>319</v>
      </c>
      <c r="Q16" s="138">
        <v>0.05</v>
      </c>
    </row>
    <row r="17" spans="1:17" x14ac:dyDescent="0.4">
      <c r="A17" s="640"/>
      <c r="B17" s="638"/>
      <c r="C17" s="675"/>
      <c r="D17" s="146">
        <f>電機廠報告與驗收規範!$J$40</f>
        <v>4</v>
      </c>
      <c r="E17" s="131">
        <f>電機廠報告與驗收規範!$J$3*D17</f>
        <v>6000</v>
      </c>
      <c r="F17" s="132" t="str">
        <f>IF(電機廠報告與驗收規範!N40="","-",電機廠報告與驗收規範!N40)</f>
        <v>-</v>
      </c>
      <c r="G17" s="147" t="str">
        <f t="shared" si="0"/>
        <v>-</v>
      </c>
      <c r="H17" s="131" t="e" cm="1">
        <f t="array" aca="1" ref="H17" ca="1">_xlfn.IFS(G17="-","-",ABS(G17)&lt;=$Q$3,"Yes",TRUE,"No")</f>
        <v>#NAME?</v>
      </c>
      <c r="I17" s="148" t="e">
        <f t="shared" ca="1" si="1"/>
        <v>#NAME?</v>
      </c>
      <c r="J17" s="122"/>
      <c r="K17" s="122"/>
      <c r="L17" s="122"/>
      <c r="M17" s="122"/>
      <c r="O17" s="672"/>
      <c r="P17" s="136" t="s">
        <v>304</v>
      </c>
      <c r="Q17" s="145">
        <v>0.05</v>
      </c>
    </row>
    <row r="18" spans="1:17" ht="17.5" thickBot="1" x14ac:dyDescent="0.45">
      <c r="A18" s="640"/>
      <c r="B18" s="638"/>
      <c r="C18" s="675"/>
      <c r="D18" s="146" t="str">
        <f>電機廠報告與驗收規範!$J$41</f>
        <v>最高轉速</v>
      </c>
      <c r="E18" s="151">
        <f>電機廠報告與驗收規範!H5</f>
        <v>8000</v>
      </c>
      <c r="F18" s="152" t="str">
        <f>IF(電機廠報告與驗收規範!N41="","-",電機廠報告與驗收規範!N41)</f>
        <v>-</v>
      </c>
      <c r="G18" s="153" t="str">
        <f t="shared" si="0"/>
        <v>-</v>
      </c>
      <c r="H18" s="131" t="e" cm="1">
        <f t="array" aca="1" ref="H18" ca="1">_xlfn.IFS(G18="-","-",ABS(G18)&lt;=$Q$3,"Yes",TRUE,"No")</f>
        <v>#NAME?</v>
      </c>
      <c r="I18" s="154" t="e">
        <f t="shared" ca="1" si="1"/>
        <v>#NAME?</v>
      </c>
      <c r="J18" s="122"/>
      <c r="K18" s="122"/>
      <c r="L18" s="122"/>
      <c r="M18" s="122"/>
      <c r="O18" s="672"/>
      <c r="P18" s="136" t="s">
        <v>310</v>
      </c>
      <c r="Q18" s="145">
        <v>0.05</v>
      </c>
    </row>
    <row r="19" spans="1:17" x14ac:dyDescent="0.4">
      <c r="A19" s="640"/>
      <c r="B19" s="638"/>
      <c r="C19" s="675"/>
      <c r="D19" s="670" t="s">
        <v>306</v>
      </c>
      <c r="E19" s="646" t="s">
        <v>320</v>
      </c>
      <c r="F19" s="646" t="s">
        <v>321</v>
      </c>
      <c r="G19" s="665" t="s">
        <v>322</v>
      </c>
      <c r="H19" s="669" t="s">
        <v>323</v>
      </c>
      <c r="I19" s="637" t="s">
        <v>295</v>
      </c>
      <c r="J19" s="631" t="s">
        <v>296</v>
      </c>
      <c r="K19" s="122"/>
      <c r="L19" s="122"/>
      <c r="M19" s="122"/>
      <c r="O19" s="672"/>
      <c r="P19" s="136" t="s">
        <v>324</v>
      </c>
      <c r="Q19" s="145">
        <v>0.05</v>
      </c>
    </row>
    <row r="20" spans="1:17" x14ac:dyDescent="0.4">
      <c r="A20" s="640"/>
      <c r="B20" s="638"/>
      <c r="C20" s="675"/>
      <c r="D20" s="667"/>
      <c r="E20" s="647"/>
      <c r="F20" s="647"/>
      <c r="G20" s="650"/>
      <c r="H20" s="625"/>
      <c r="I20" s="638"/>
      <c r="J20" s="632"/>
      <c r="K20" s="122"/>
      <c r="L20" s="122"/>
      <c r="M20" s="122"/>
      <c r="O20" s="672"/>
      <c r="P20" s="136" t="s">
        <v>315</v>
      </c>
      <c r="Q20" s="138">
        <v>0.03</v>
      </c>
    </row>
    <row r="21" spans="1:17" ht="17.5" thickBot="1" x14ac:dyDescent="0.45">
      <c r="A21" s="640"/>
      <c r="B21" s="638"/>
      <c r="C21" s="675"/>
      <c r="D21" s="160">
        <f>電機廠報告與驗收規範!$J$33</f>
        <v>0.5</v>
      </c>
      <c r="E21" s="155">
        <f>電機廠報告與驗收規範!L33</f>
        <v>1</v>
      </c>
      <c r="F21" s="156">
        <f>電機廠報告與驗收規範!M33</f>
        <v>70</v>
      </c>
      <c r="G21" s="132">
        <f>IF(電機廠報告與驗收規範!P33="","-",電機廠報告與驗收規範!P33)</f>
        <v>70.14</v>
      </c>
      <c r="H21" s="147">
        <f>IF(G21&lt;&gt;"-",(G21-F21)/F21,"-")</f>
        <v>2.0000000000000083E-3</v>
      </c>
      <c r="I21" s="131" t="e" cm="1">
        <f t="array" aca="1" ref="I21" ca="1">_xlfn.IFS(H21="-","-",ABS(H21)&lt;=$Q$5,"Yes",TRUE,"No")</f>
        <v>#NAME?</v>
      </c>
      <c r="J21" s="148" t="e">
        <f ca="1">IF(I21="No",_xlfn.TEXTJOIN("",TRUE,"轉矩誤差&gt;",$Q$5*100,"%"),"")</f>
        <v>#NAME?</v>
      </c>
      <c r="K21" s="122"/>
      <c r="L21" s="122"/>
      <c r="M21" s="122"/>
      <c r="O21" s="673"/>
      <c r="P21" s="128" t="s">
        <v>316</v>
      </c>
      <c r="Q21" s="129">
        <v>0.05</v>
      </c>
    </row>
    <row r="22" spans="1:17" x14ac:dyDescent="0.4">
      <c r="A22" s="640"/>
      <c r="B22" s="638"/>
      <c r="C22" s="675"/>
      <c r="D22" s="160">
        <f>電機廠報告與驗收規範!$J$34</f>
        <v>1</v>
      </c>
      <c r="E22" s="155">
        <f>電機廠報告與驗收規範!L34</f>
        <v>1</v>
      </c>
      <c r="F22" s="156">
        <f>電機廠報告與驗收規範!M34</f>
        <v>70</v>
      </c>
      <c r="G22" s="132">
        <f>IF(電機廠報告與驗收規範!P34="","-",電機廠報告與驗收規範!P34)</f>
        <v>69.36</v>
      </c>
      <c r="H22" s="147">
        <f t="shared" ref="H22:H29" si="2">IF(G22&lt;&gt;"-",(G22-F22)/F22,"-")</f>
        <v>-9.1428571428571505E-3</v>
      </c>
      <c r="I22" s="131" t="e" cm="1">
        <f t="array" aca="1" ref="I22" ca="1">_xlfn.IFS(H22="-","-",ABS(H22)&lt;=$Q$5,"Yes",TRUE,"No")</f>
        <v>#NAME?</v>
      </c>
      <c r="J22" s="148" t="e">
        <f ca="1">IF(I22="No",_xlfn.TEXTJOIN("",TRUE,"轉矩誤差&gt;",$Q$6*100,"%"),"")</f>
        <v>#NAME?</v>
      </c>
      <c r="K22" s="122"/>
      <c r="L22" s="157"/>
      <c r="M22" s="122"/>
      <c r="O22" s="671" t="s">
        <v>325</v>
      </c>
      <c r="P22" s="124" t="s">
        <v>318</v>
      </c>
      <c r="Q22" s="125">
        <v>0.05</v>
      </c>
    </row>
    <row r="23" spans="1:17" x14ac:dyDescent="0.4">
      <c r="A23" s="640"/>
      <c r="B23" s="638"/>
      <c r="C23" s="675"/>
      <c r="D23" s="160">
        <f>電機廠報告與驗收規範!$J$35</f>
        <v>1.5</v>
      </c>
      <c r="E23" s="155">
        <f>電機廠報告與驗收規範!L35</f>
        <v>0.66666666666666663</v>
      </c>
      <c r="F23" s="156">
        <f>電機廠報告與驗收規範!M35</f>
        <v>46.666666666666664</v>
      </c>
      <c r="G23" s="132" t="str">
        <f>IF(電機廠報告與驗收規範!P35="","-",電機廠報告與驗收規範!P35)</f>
        <v>-</v>
      </c>
      <c r="H23" s="147" t="str">
        <f t="shared" si="2"/>
        <v>-</v>
      </c>
      <c r="I23" s="131" t="e" cm="1">
        <f t="array" aca="1" ref="I23" ca="1">_xlfn.IFS(H23="-","-",ABS(H23)&lt;=$Q$5,"Yes",TRUE,"No")</f>
        <v>#NAME?</v>
      </c>
      <c r="J23" s="148" t="e">
        <f t="shared" ref="J23:J29" ca="1" si="3">IF(I23="No",_xlfn.TEXTJOIN("",TRUE,"轉矩誤差&gt;",$Q$5*100,"%"),"")</f>
        <v>#NAME?</v>
      </c>
      <c r="K23" s="122"/>
      <c r="L23" s="122"/>
      <c r="M23" s="122"/>
      <c r="O23" s="672"/>
      <c r="P23" s="136" t="s">
        <v>319</v>
      </c>
      <c r="Q23" s="138">
        <v>0.05</v>
      </c>
    </row>
    <row r="24" spans="1:17" ht="17.5" thickBot="1" x14ac:dyDescent="0.45">
      <c r="A24" s="640"/>
      <c r="B24" s="638"/>
      <c r="C24" s="675"/>
      <c r="D24" s="160">
        <f>電機廠報告與驗收規範!$J$36</f>
        <v>2</v>
      </c>
      <c r="E24" s="155">
        <f>電機廠報告與驗收規範!L36</f>
        <v>0.5</v>
      </c>
      <c r="F24" s="156">
        <f>電機廠報告與驗收規範!M36</f>
        <v>35</v>
      </c>
      <c r="G24" s="132" t="str">
        <f>IF(電機廠報告與驗收規範!P36="","-",電機廠報告與驗收規範!P36)</f>
        <v>-</v>
      </c>
      <c r="H24" s="147" t="str">
        <f t="shared" si="2"/>
        <v>-</v>
      </c>
      <c r="I24" s="131" t="e" cm="1">
        <f t="array" aca="1" ref="I24" ca="1">_xlfn.IFS(H24="-","-",ABS(H24)&lt;=$Q$5,"Yes",TRUE,"No")</f>
        <v>#NAME?</v>
      </c>
      <c r="J24" s="148" t="e">
        <f t="shared" ca="1" si="3"/>
        <v>#NAME?</v>
      </c>
      <c r="K24" s="122"/>
      <c r="L24" s="122"/>
      <c r="M24" s="122"/>
      <c r="O24" s="673"/>
      <c r="P24" s="128" t="s">
        <v>316</v>
      </c>
      <c r="Q24" s="129">
        <v>0.05</v>
      </c>
    </row>
    <row r="25" spans="1:17" ht="17.5" thickBot="1" x14ac:dyDescent="0.45">
      <c r="A25" s="640"/>
      <c r="B25" s="638"/>
      <c r="C25" s="675"/>
      <c r="D25" s="160">
        <f>電機廠報告與驗收規範!$J$37</f>
        <v>2.5</v>
      </c>
      <c r="E25" s="155">
        <f>電機廠報告與驗收規範!L37</f>
        <v>0.4</v>
      </c>
      <c r="F25" s="156">
        <f>電機廠報告與驗收規範!M37</f>
        <v>28</v>
      </c>
      <c r="G25" s="132" t="str">
        <f>IF(電機廠報告與驗收規範!P37="","-",電機廠報告與驗收規範!P37)</f>
        <v>-</v>
      </c>
      <c r="H25" s="147" t="str">
        <f t="shared" si="2"/>
        <v>-</v>
      </c>
      <c r="I25" s="131" t="e" cm="1">
        <f t="array" aca="1" ref="I25" ca="1">_xlfn.IFS(H25="-","-",ABS(H25)&lt;=$Q$5,"Yes",TRUE,"No")</f>
        <v>#NAME?</v>
      </c>
      <c r="J25" s="148" t="e">
        <f t="shared" ca="1" si="3"/>
        <v>#NAME?</v>
      </c>
      <c r="K25" s="122"/>
      <c r="L25" s="122"/>
      <c r="M25" s="122"/>
      <c r="O25" s="196" t="s">
        <v>347</v>
      </c>
      <c r="P25" s="119" t="s">
        <v>356</v>
      </c>
      <c r="Q25" s="197">
        <v>0.03</v>
      </c>
    </row>
    <row r="26" spans="1:17" x14ac:dyDescent="0.4">
      <c r="A26" s="640"/>
      <c r="B26" s="638"/>
      <c r="C26" s="675"/>
      <c r="D26" s="160">
        <f>電機廠報告與驗收規範!$J$38</f>
        <v>3</v>
      </c>
      <c r="E26" s="155">
        <f>電機廠報告與驗收規範!L38</f>
        <v>0.33333333333333331</v>
      </c>
      <c r="F26" s="156">
        <f>電機廠報告與驗收規範!M38</f>
        <v>23.333333333333332</v>
      </c>
      <c r="G26" s="132" t="str">
        <f>IF(電機廠報告與驗收規範!P38="","-",電機廠報告與驗收規範!P38)</f>
        <v>-</v>
      </c>
      <c r="H26" s="147" t="str">
        <f t="shared" si="2"/>
        <v>-</v>
      </c>
      <c r="I26" s="131" t="e" cm="1">
        <f t="array" aca="1" ref="I26" ca="1">_xlfn.IFS(H26="-","-",ABS(H26)&lt;=$Q$5,"Yes",TRUE,"No")</f>
        <v>#NAME?</v>
      </c>
      <c r="J26" s="148" t="e">
        <f t="shared" ca="1" si="3"/>
        <v>#NAME?</v>
      </c>
      <c r="K26" s="122"/>
      <c r="L26" s="122"/>
      <c r="M26" s="122"/>
    </row>
    <row r="27" spans="1:17" x14ac:dyDescent="0.4">
      <c r="A27" s="640"/>
      <c r="B27" s="638"/>
      <c r="C27" s="675"/>
      <c r="D27" s="160">
        <f>電機廠報告與驗收規範!$J$39</f>
        <v>3.5</v>
      </c>
      <c r="E27" s="155">
        <f>電機廠報告與驗收規範!L39</f>
        <v>0.2857142857142857</v>
      </c>
      <c r="F27" s="156">
        <f>電機廠報告與驗收規範!M39</f>
        <v>20</v>
      </c>
      <c r="G27" s="132" t="str">
        <f>IF(電機廠報告與驗收規範!P39="","-",電機廠報告與驗收規範!P39)</f>
        <v>-</v>
      </c>
      <c r="H27" s="147" t="str">
        <f t="shared" si="2"/>
        <v>-</v>
      </c>
      <c r="I27" s="131" t="e" cm="1">
        <f t="array" aca="1" ref="I27" ca="1">_xlfn.IFS(H27="-","-",ABS(H27)&lt;=$Q$5,"Yes",TRUE,"No")</f>
        <v>#NAME?</v>
      </c>
      <c r="J27" s="148" t="e">
        <f t="shared" ca="1" si="3"/>
        <v>#NAME?</v>
      </c>
      <c r="K27" s="122"/>
      <c r="L27" s="122"/>
      <c r="M27" s="122"/>
    </row>
    <row r="28" spans="1:17" x14ac:dyDescent="0.4">
      <c r="A28" s="640"/>
      <c r="B28" s="638"/>
      <c r="C28" s="675"/>
      <c r="D28" s="160">
        <f>電機廠報告與驗收規範!$J$40</f>
        <v>4</v>
      </c>
      <c r="E28" s="155">
        <f>電機廠報告與驗收規範!L40</f>
        <v>0.25</v>
      </c>
      <c r="F28" s="156">
        <f>電機廠報告與驗收規範!M40</f>
        <v>17.5</v>
      </c>
      <c r="G28" s="132" t="str">
        <f>IF(電機廠報告與驗收規範!P40="","-",電機廠報告與驗收規範!P40)</f>
        <v>-</v>
      </c>
      <c r="H28" s="147" t="str">
        <f t="shared" si="2"/>
        <v>-</v>
      </c>
      <c r="I28" s="131" t="e" cm="1">
        <f t="array" aca="1" ref="I28" ca="1">_xlfn.IFS(H28="-","-",ABS(H28)&lt;=$Q$5,"Yes",TRUE,"No")</f>
        <v>#NAME?</v>
      </c>
      <c r="J28" s="148" t="e">
        <f t="shared" ca="1" si="3"/>
        <v>#NAME?</v>
      </c>
      <c r="K28" s="122"/>
      <c r="L28" s="122"/>
      <c r="M28" s="122"/>
    </row>
    <row r="29" spans="1:17" ht="17.5" thickBot="1" x14ac:dyDescent="0.45">
      <c r="A29" s="640"/>
      <c r="B29" s="638"/>
      <c r="C29" s="675"/>
      <c r="D29" s="180" t="str">
        <f>電機廠報告與驗收規範!$J$41</f>
        <v>最高轉速</v>
      </c>
      <c r="E29" s="181">
        <f>電機廠報告與驗收規範!L41</f>
        <v>0.1875</v>
      </c>
      <c r="F29" s="182">
        <f>電機廠報告與驗收規範!M41</f>
        <v>13.125</v>
      </c>
      <c r="G29" s="152" t="str">
        <f>IF(電機廠報告與驗收規範!P41="","-",電機廠報告與驗收規範!P41)</f>
        <v>-</v>
      </c>
      <c r="H29" s="153" t="str">
        <f t="shared" si="2"/>
        <v>-</v>
      </c>
      <c r="I29" s="151" t="e" cm="1">
        <f t="array" aca="1" ref="I29" ca="1">_xlfn.IFS(H29="-","-",ABS(H29)&lt;=$Q$5,"Yes",TRUE,"No")</f>
        <v>#NAME?</v>
      </c>
      <c r="J29" s="154" t="e">
        <f t="shared" ca="1" si="3"/>
        <v>#NAME?</v>
      </c>
      <c r="K29" s="122"/>
      <c r="L29" s="122"/>
      <c r="M29" s="122"/>
    </row>
    <row r="30" spans="1:17" x14ac:dyDescent="0.4">
      <c r="A30" s="640"/>
      <c r="B30" s="638"/>
      <c r="C30" s="676"/>
      <c r="D30" s="670" t="s">
        <v>306</v>
      </c>
      <c r="E30" s="635" t="s">
        <v>326</v>
      </c>
      <c r="F30" s="635" t="s">
        <v>327</v>
      </c>
      <c r="G30" s="635" t="s">
        <v>328</v>
      </c>
      <c r="H30" s="635" t="s">
        <v>329</v>
      </c>
      <c r="I30" s="637" t="s">
        <v>295</v>
      </c>
      <c r="J30" s="637" t="s">
        <v>296</v>
      </c>
      <c r="K30" s="635" t="s">
        <v>330</v>
      </c>
      <c r="L30" s="637" t="s">
        <v>295</v>
      </c>
      <c r="M30" s="631" t="s">
        <v>296</v>
      </c>
    </row>
    <row r="31" spans="1:17" x14ac:dyDescent="0.4">
      <c r="A31" s="640"/>
      <c r="B31" s="638"/>
      <c r="C31" s="676"/>
      <c r="D31" s="667"/>
      <c r="E31" s="636"/>
      <c r="F31" s="636"/>
      <c r="G31" s="636"/>
      <c r="H31" s="636"/>
      <c r="I31" s="638"/>
      <c r="J31" s="638"/>
      <c r="K31" s="636"/>
      <c r="L31" s="638"/>
      <c r="M31" s="632"/>
    </row>
    <row r="32" spans="1:17" x14ac:dyDescent="0.4">
      <c r="A32" s="640"/>
      <c r="B32" s="638"/>
      <c r="C32" s="676"/>
      <c r="D32" s="160">
        <f>電機廠報告與驗收規範!$J$33</f>
        <v>0.5</v>
      </c>
      <c r="E32" s="132">
        <f>IF(電機廠報告與驗收規範!Q33="","-",電機廠報告與驗收規範!Q33)</f>
        <v>134.1</v>
      </c>
      <c r="F32" s="132">
        <f>IF(電機廠報告與驗收規範!R33="","-",電機廠報告與驗收規範!R33)</f>
        <v>134.19999999999999</v>
      </c>
      <c r="G32" s="132" t="str">
        <f>IF(電機廠報告與驗收規範!S33="","-",電機廠報告與驗收規範!S33)</f>
        <v>134..1</v>
      </c>
      <c r="H32" s="134"/>
      <c r="I32" s="134"/>
      <c r="J32" s="134"/>
      <c r="K32" s="159">
        <f>IF(E32&lt;&gt;"-",(MAX(E32:G32)-MIN(E32:G32))/MIN(E32:G32),"-")</f>
        <v>7.4571215510808593E-4</v>
      </c>
      <c r="L32" s="131" t="e" cm="1">
        <f t="array" aca="1" ref="L32" ca="1">_xlfn.IFS(K32="-","-",K32&lt;=$Q$13,"Yes",TRUE,"No")</f>
        <v>#NAME?</v>
      </c>
      <c r="M32" s="148" t="e">
        <f t="shared" ref="M32:M40" ca="1" si="4">IF(L32="No",_xlfn.TEXTJOIN("",TRUE,"三相電壓誤差&gt;",$Q$13*100,"%"),"")</f>
        <v>#NAME?</v>
      </c>
    </row>
    <row r="33" spans="1:13" x14ac:dyDescent="0.4">
      <c r="A33" s="640"/>
      <c r="B33" s="638"/>
      <c r="C33" s="676"/>
      <c r="D33" s="160">
        <f>電機廠報告與驗收規範!$J$34</f>
        <v>1</v>
      </c>
      <c r="E33" s="132">
        <f>IF(電機廠報告與驗收規範!Q34="","-",電機廠報告與驗收規範!Q34)</f>
        <v>257.5</v>
      </c>
      <c r="F33" s="132">
        <f>IF(電機廠報告與驗收規範!R34="","-",電機廠報告與驗收規範!R34)</f>
        <v>257.5</v>
      </c>
      <c r="G33" s="132">
        <f>IF(電機廠報告與驗收規範!S34="","-",電機廠報告與驗收規範!S34)</f>
        <v>257.7</v>
      </c>
      <c r="H33" s="147">
        <f>IF(E33&lt;&gt;"-",(AVERAGE(E33:G33)-電機廠報告與驗收規範!$H$3)/電機廠報告與驗收規範!$H$3,"-")</f>
        <v>-9.3589743589743736E-3</v>
      </c>
      <c r="I33" s="131" t="e" cm="1">
        <f t="array" aca="1" ref="I33" ca="1">_xlfn.IFS(H33="-","-",ABS(H33)&lt;=$Q$10,"Yes",TRUE,"No")</f>
        <v>#NAME?</v>
      </c>
      <c r="J33" s="131" t="e">
        <f ca="1">IF(I33="No",_xlfn.TEXTJOIN("",TRUE,"平均電壓誤差&gt;",$Q$10*100,"%"),"")</f>
        <v>#NAME?</v>
      </c>
      <c r="K33" s="159">
        <f t="shared" ref="K33:K40" si="5">IF(E33&lt;&gt;"-",(MAX(E33:G33)-MIN(E33:G33))/MIN(E33:G33),"-")</f>
        <v>7.7669902912616941E-4</v>
      </c>
      <c r="L33" s="131" t="e" cm="1">
        <f t="array" aca="1" ref="L33" ca="1">_xlfn.IFS(K33="-","-",K33&lt;=$Q$13,"Yes",TRUE,"No")</f>
        <v>#NAME?</v>
      </c>
      <c r="M33" s="148" t="e">
        <f t="shared" ca="1" si="4"/>
        <v>#NAME?</v>
      </c>
    </row>
    <row r="34" spans="1:13" x14ac:dyDescent="0.4">
      <c r="A34" s="640"/>
      <c r="B34" s="638"/>
      <c r="C34" s="676"/>
      <c r="D34" s="160">
        <f>電機廠報告與驗收規範!$J$35</f>
        <v>1.5</v>
      </c>
      <c r="E34" s="132" t="str">
        <f>IF(電機廠報告與驗收規範!Q35="","-",電機廠報告與驗收規範!Q35)</f>
        <v>-</v>
      </c>
      <c r="F34" s="132" t="str">
        <f>IF(電機廠報告與驗收規範!R35="","-",電機廠報告與驗收規範!R35)</f>
        <v>-</v>
      </c>
      <c r="G34" s="132" t="str">
        <f>IF(電機廠報告與驗收規範!S35="","-",電機廠報告與驗收規範!S35)</f>
        <v>-</v>
      </c>
      <c r="H34" s="147" t="str">
        <f>IF(E34&lt;&gt;"-",(AVERAGE(E34:G34)-電機廠報告與驗收規範!$H$3)/電機廠報告與驗收規範!$H$3,"-")</f>
        <v>-</v>
      </c>
      <c r="I34" s="131" t="e" cm="1">
        <f t="array" aca="1" ref="I34" ca="1">_xlfn.IFS(H34="-","-",ABS(H34)&lt;=$Q$10,"Yes",TRUE,"No")</f>
        <v>#NAME?</v>
      </c>
      <c r="J34" s="131" t="e">
        <f t="shared" ref="J34:J40" ca="1" si="6">IF(I34="No",_xlfn.TEXTJOIN("",TRUE,"平均電壓誤差&gt;",$Q$9*100,"%"),"")</f>
        <v>#NAME?</v>
      </c>
      <c r="K34" s="159" t="str">
        <f t="shared" si="5"/>
        <v>-</v>
      </c>
      <c r="L34" s="131" t="e" cm="1">
        <f t="array" aca="1" ref="L34" ca="1">_xlfn.IFS(K34="-","-",K34&lt;=$Q$13,"Yes",TRUE,"No")</f>
        <v>#NAME?</v>
      </c>
      <c r="M34" s="148" t="e">
        <f t="shared" ca="1" si="4"/>
        <v>#NAME?</v>
      </c>
    </row>
    <row r="35" spans="1:13" x14ac:dyDescent="0.4">
      <c r="A35" s="640"/>
      <c r="B35" s="638"/>
      <c r="C35" s="676"/>
      <c r="D35" s="160">
        <f>電機廠報告與驗收規範!$J$36</f>
        <v>2</v>
      </c>
      <c r="E35" s="132" t="str">
        <f>IF(電機廠報告與驗收規範!Q36="","-",電機廠報告與驗收規範!Q36)</f>
        <v>-</v>
      </c>
      <c r="F35" s="132" t="str">
        <f>IF(電機廠報告與驗收規範!R36="","-",電機廠報告與驗收規範!R36)</f>
        <v>-</v>
      </c>
      <c r="G35" s="132" t="str">
        <f>IF(電機廠報告與驗收規範!S36="","-",電機廠報告與驗收規範!S36)</f>
        <v>-</v>
      </c>
      <c r="H35" s="147" t="str">
        <f>IF(E35&lt;&gt;"-",(AVERAGE(E35:G35)-電機廠報告與驗收規範!$H$3)/電機廠報告與驗收規範!$H$3,"-")</f>
        <v>-</v>
      </c>
      <c r="I35" s="131" t="e" cm="1">
        <f t="array" aca="1" ref="I35" ca="1">_xlfn.IFS(H35="-","-",ABS(H35)&lt;=$Q$10,"Yes",TRUE,"No")</f>
        <v>#NAME?</v>
      </c>
      <c r="J35" s="131" t="e">
        <f t="shared" ca="1" si="6"/>
        <v>#NAME?</v>
      </c>
      <c r="K35" s="159" t="str">
        <f t="shared" si="5"/>
        <v>-</v>
      </c>
      <c r="L35" s="131" t="e" cm="1">
        <f t="array" aca="1" ref="L35" ca="1">_xlfn.IFS(K35="-","-",K35&lt;=$Q$13,"Yes",TRUE,"No")</f>
        <v>#NAME?</v>
      </c>
      <c r="M35" s="148" t="e">
        <f t="shared" ca="1" si="4"/>
        <v>#NAME?</v>
      </c>
    </row>
    <row r="36" spans="1:13" x14ac:dyDescent="0.4">
      <c r="A36" s="640"/>
      <c r="B36" s="638"/>
      <c r="C36" s="676"/>
      <c r="D36" s="160">
        <f>電機廠報告與驗收規範!$J$37</f>
        <v>2.5</v>
      </c>
      <c r="E36" s="132" t="str">
        <f>IF(電機廠報告與驗收規範!Q37="","-",電機廠報告與驗收規範!Q37)</f>
        <v>-</v>
      </c>
      <c r="F36" s="132" t="str">
        <f>IF(電機廠報告與驗收規範!R37="","-",電機廠報告與驗收規範!R37)</f>
        <v>-</v>
      </c>
      <c r="G36" s="132" t="str">
        <f>IF(電機廠報告與驗收規範!S37="","-",電機廠報告與驗收規範!S37)</f>
        <v>-</v>
      </c>
      <c r="H36" s="147" t="str">
        <f>IF(E36&lt;&gt;"-",(AVERAGE(E36:G36)-電機廠報告與驗收規範!$H$3)/電機廠報告與驗收規範!$H$3,"-")</f>
        <v>-</v>
      </c>
      <c r="I36" s="131" t="e" cm="1">
        <f t="array" aca="1" ref="I36" ca="1">_xlfn.IFS(H36="-","-",ABS(H36)&lt;=$Q$10,"Yes",TRUE,"No")</f>
        <v>#NAME?</v>
      </c>
      <c r="J36" s="131" t="e">
        <f t="shared" ca="1" si="6"/>
        <v>#NAME?</v>
      </c>
      <c r="K36" s="159" t="str">
        <f t="shared" si="5"/>
        <v>-</v>
      </c>
      <c r="L36" s="131" t="e" cm="1">
        <f t="array" aca="1" ref="L36" ca="1">_xlfn.IFS(K36="-","-",K36&lt;=$Q$13,"Yes",TRUE,"No")</f>
        <v>#NAME?</v>
      </c>
      <c r="M36" s="148" t="e">
        <f t="shared" ca="1" si="4"/>
        <v>#NAME?</v>
      </c>
    </row>
    <row r="37" spans="1:13" x14ac:dyDescent="0.4">
      <c r="A37" s="640"/>
      <c r="B37" s="638"/>
      <c r="C37" s="676"/>
      <c r="D37" s="160">
        <f>電機廠報告與驗收規範!$J$38</f>
        <v>3</v>
      </c>
      <c r="E37" s="132" t="str">
        <f>IF(電機廠報告與驗收規範!Q38="","-",電機廠報告與驗收規範!Q38)</f>
        <v>-</v>
      </c>
      <c r="F37" s="132" t="str">
        <f>IF(電機廠報告與驗收規範!R38="","-",電機廠報告與驗收規範!R38)</f>
        <v>-</v>
      </c>
      <c r="G37" s="132" t="str">
        <f>IF(電機廠報告與驗收規範!S38="","-",電機廠報告與驗收規範!S38)</f>
        <v>-</v>
      </c>
      <c r="H37" s="147" t="str">
        <f>IF(E37&lt;&gt;"-",(AVERAGE(E37:G37)-電機廠報告與驗收規範!$H$3)/電機廠報告與驗收規範!$H$3,"-")</f>
        <v>-</v>
      </c>
      <c r="I37" s="131" t="e" cm="1">
        <f t="array" aca="1" ref="I37" ca="1">_xlfn.IFS(H37="-","-",ABS(H37)&lt;=$Q$10,"Yes",TRUE,"No")</f>
        <v>#NAME?</v>
      </c>
      <c r="J37" s="131" t="e">
        <f t="shared" ca="1" si="6"/>
        <v>#NAME?</v>
      </c>
      <c r="K37" s="159" t="str">
        <f t="shared" si="5"/>
        <v>-</v>
      </c>
      <c r="L37" s="131" t="e" cm="1">
        <f t="array" aca="1" ref="L37" ca="1">_xlfn.IFS(K37="-","-",K37&lt;=$Q$13,"Yes",TRUE,"No")</f>
        <v>#NAME?</v>
      </c>
      <c r="M37" s="148" t="e">
        <f t="shared" ca="1" si="4"/>
        <v>#NAME?</v>
      </c>
    </row>
    <row r="38" spans="1:13" x14ac:dyDescent="0.4">
      <c r="A38" s="640"/>
      <c r="B38" s="638"/>
      <c r="C38" s="676"/>
      <c r="D38" s="160">
        <f>電機廠報告與驗收規範!$J$39</f>
        <v>3.5</v>
      </c>
      <c r="E38" s="132" t="str">
        <f>IF(電機廠報告與驗收規範!Q39="","-",電機廠報告與驗收規範!Q39)</f>
        <v>-</v>
      </c>
      <c r="F38" s="132" t="str">
        <f>IF(電機廠報告與驗收規範!R39="","-",電機廠報告與驗收規範!R39)</f>
        <v>-</v>
      </c>
      <c r="G38" s="132" t="str">
        <f>IF(電機廠報告與驗收規範!S39="","-",電機廠報告與驗收規範!S39)</f>
        <v>-</v>
      </c>
      <c r="H38" s="147" t="str">
        <f>IF(E38&lt;&gt;"-",(AVERAGE(E38:G38)-電機廠報告與驗收規範!$H$3)/電機廠報告與驗收規範!$H$3,"-")</f>
        <v>-</v>
      </c>
      <c r="I38" s="131" t="e" cm="1">
        <f t="array" aca="1" ref="I38" ca="1">_xlfn.IFS(H38="-","-",ABS(H38)&lt;=$Q$10,"Yes",TRUE,"No")</f>
        <v>#NAME?</v>
      </c>
      <c r="J38" s="131" t="e">
        <f t="shared" ca="1" si="6"/>
        <v>#NAME?</v>
      </c>
      <c r="K38" s="159" t="str">
        <f t="shared" si="5"/>
        <v>-</v>
      </c>
      <c r="L38" s="131" t="e" cm="1">
        <f t="array" aca="1" ref="L38" ca="1">_xlfn.IFS(K38="-","-",K38&lt;=$Q$13,"Yes",TRUE,"No")</f>
        <v>#NAME?</v>
      </c>
      <c r="M38" s="148" t="e">
        <f t="shared" ca="1" si="4"/>
        <v>#NAME?</v>
      </c>
    </row>
    <row r="39" spans="1:13" x14ac:dyDescent="0.4">
      <c r="A39" s="640"/>
      <c r="B39" s="638"/>
      <c r="C39" s="676"/>
      <c r="D39" s="160">
        <f>電機廠報告與驗收規範!$J$40</f>
        <v>4</v>
      </c>
      <c r="E39" s="132" t="str">
        <f>IF(電機廠報告與驗收規範!Q40="","-",電機廠報告與驗收規範!Q40)</f>
        <v>-</v>
      </c>
      <c r="F39" s="132" t="str">
        <f>IF(電機廠報告與驗收規範!R40="","-",電機廠報告與驗收規範!R40)</f>
        <v>-</v>
      </c>
      <c r="G39" s="132" t="str">
        <f>IF(電機廠報告與驗收規範!S40="","-",電機廠報告與驗收規範!S40)</f>
        <v>-</v>
      </c>
      <c r="H39" s="147" t="str">
        <f>IF(E39&lt;&gt;"-",(AVERAGE(E39:G39)-電機廠報告與驗收規範!$H$3)/電機廠報告與驗收規範!$H$3,"-")</f>
        <v>-</v>
      </c>
      <c r="I39" s="131" t="e" cm="1">
        <f t="array" aca="1" ref="I39" ca="1">_xlfn.IFS(H39="-","-",ABS(H39)&lt;=$Q$10,"Yes",TRUE,"No")</f>
        <v>#NAME?</v>
      </c>
      <c r="J39" s="131" t="e">
        <f t="shared" ca="1" si="6"/>
        <v>#NAME?</v>
      </c>
      <c r="K39" s="159" t="str">
        <f t="shared" si="5"/>
        <v>-</v>
      </c>
      <c r="L39" s="131" t="e" cm="1">
        <f t="array" aca="1" ref="L39" ca="1">_xlfn.IFS(K39="-","-",K39&lt;=$Q$13,"Yes",TRUE,"No")</f>
        <v>#NAME?</v>
      </c>
      <c r="M39" s="148" t="e">
        <f t="shared" ca="1" si="4"/>
        <v>#NAME?</v>
      </c>
    </row>
    <row r="40" spans="1:13" ht="17.5" thickBot="1" x14ac:dyDescent="0.45">
      <c r="A40" s="640"/>
      <c r="B40" s="638"/>
      <c r="C40" s="676"/>
      <c r="D40" s="183" t="str">
        <f>電機廠報告與驗收規範!$J$41</f>
        <v>最高轉速</v>
      </c>
      <c r="E40" s="141" t="str">
        <f>IF(電機廠報告與驗收規範!Q41="","-",電機廠報告與驗收規範!Q41)</f>
        <v>-</v>
      </c>
      <c r="F40" s="141" t="str">
        <f>IF(電機廠報告與驗收規範!R41="","-",電機廠報告與驗收規範!R41)</f>
        <v>-</v>
      </c>
      <c r="G40" s="141" t="str">
        <f>IF(電機廠報告與驗收規範!S41="","-",電機廠報告與驗收規範!S41)</f>
        <v>-</v>
      </c>
      <c r="H40" s="163" t="str">
        <f>IF(E40&lt;&gt;"-",(AVERAGE(E40:G40)-電機廠報告與驗收規範!$H$3)/電機廠報告與驗收規範!$H$3,"-")</f>
        <v>-</v>
      </c>
      <c r="I40" s="140" t="e" cm="1">
        <f t="array" aca="1" ref="I40" ca="1">_xlfn.IFS(H40="-","-",ABS(H40)&lt;=$Q$10,"Yes",TRUE,"No")</f>
        <v>#NAME?</v>
      </c>
      <c r="J40" s="140" t="e">
        <f t="shared" ca="1" si="6"/>
        <v>#NAME?</v>
      </c>
      <c r="K40" s="164" t="str">
        <f t="shared" si="5"/>
        <v>-</v>
      </c>
      <c r="L40" s="140" t="e" cm="1">
        <f t="array" aca="1" ref="L40" ca="1">_xlfn.IFS(K40="-","-",K40&lt;=$Q$13,"Yes",TRUE,"No")</f>
        <v>#NAME?</v>
      </c>
      <c r="M40" s="144" t="e">
        <f t="shared" ca="1" si="4"/>
        <v>#NAME?</v>
      </c>
    </row>
    <row r="41" spans="1:13" x14ac:dyDescent="0.4">
      <c r="A41" s="640"/>
      <c r="B41" s="638"/>
      <c r="C41" s="676"/>
      <c r="D41" s="666" t="s">
        <v>306</v>
      </c>
      <c r="E41" s="650" t="s">
        <v>331</v>
      </c>
      <c r="F41" s="650" t="s">
        <v>332</v>
      </c>
      <c r="G41" s="650" t="s">
        <v>333</v>
      </c>
      <c r="H41" s="658" t="s">
        <v>334</v>
      </c>
      <c r="I41" s="625" t="s">
        <v>295</v>
      </c>
      <c r="J41" s="625" t="s">
        <v>296</v>
      </c>
      <c r="K41" s="650" t="s">
        <v>335</v>
      </c>
      <c r="L41" s="625" t="s">
        <v>295</v>
      </c>
      <c r="M41" s="651" t="s">
        <v>296</v>
      </c>
    </row>
    <row r="42" spans="1:13" x14ac:dyDescent="0.4">
      <c r="A42" s="640"/>
      <c r="B42" s="638"/>
      <c r="C42" s="676"/>
      <c r="D42" s="667"/>
      <c r="E42" s="636"/>
      <c r="F42" s="636"/>
      <c r="G42" s="636"/>
      <c r="H42" s="650"/>
      <c r="I42" s="638"/>
      <c r="J42" s="638"/>
      <c r="K42" s="636"/>
      <c r="L42" s="638"/>
      <c r="M42" s="632"/>
    </row>
    <row r="43" spans="1:13" x14ac:dyDescent="0.4">
      <c r="A43" s="640"/>
      <c r="B43" s="638"/>
      <c r="C43" s="676"/>
      <c r="D43" s="160">
        <f>電機廠報告與驗收規範!$J$33</f>
        <v>0.5</v>
      </c>
      <c r="E43" s="132">
        <f>IF(電機廠報告與驗收規範!T33="","-",電機廠報告與驗收規範!T33)</f>
        <v>32.200000000000003</v>
      </c>
      <c r="F43" s="132">
        <f>IF(電機廠報告與驗收規範!U33="","-",電機廠報告與驗收規範!U33)</f>
        <v>32.299999999999997</v>
      </c>
      <c r="G43" s="132">
        <f>IF(電機廠報告與驗收規範!V33="","-",電機廠報告與驗收規範!V33)</f>
        <v>32.1</v>
      </c>
      <c r="H43" s="134"/>
      <c r="I43" s="134"/>
      <c r="J43" s="134"/>
      <c r="K43" s="159">
        <f>IF(E43&lt;&gt;"-",(MAX(E43:G43)-MIN(E43:G43))/MIN(E43:G43),"-")</f>
        <v>6.2305295950154434E-3</v>
      </c>
      <c r="L43" s="131" t="e" cm="1">
        <f t="array" aca="1" ref="L43" ca="1">_xlfn.IFS(K43="-","-",K43&lt;=$Q$14,"Yes",TRUE,"No")</f>
        <v>#NAME?</v>
      </c>
      <c r="M43" s="148" t="e">
        <f t="shared" ref="M43:M51" ca="1" si="7">IF(L43="No",_xlfn.TEXTJOIN("",TRUE,"三相電流誤差&gt;",$Q$14*100,"%"),"")</f>
        <v>#NAME?</v>
      </c>
    </row>
    <row r="44" spans="1:13" x14ac:dyDescent="0.4">
      <c r="A44" s="640"/>
      <c r="B44" s="638"/>
      <c r="C44" s="676"/>
      <c r="D44" s="160">
        <f>電機廠報告與驗收規範!$J$34</f>
        <v>1</v>
      </c>
      <c r="E44" s="132">
        <f>IF(電機廠報告與驗收規範!T34="","-",電機廠報告與驗收規範!T34)</f>
        <v>32.299999999999997</v>
      </c>
      <c r="F44" s="132">
        <f>IF(電機廠報告與驗收規範!U34="","-",電機廠報告與驗收規範!U34)</f>
        <v>32.1</v>
      </c>
      <c r="G44" s="132">
        <f>IF(電機廠報告與驗收規範!V34="","-",電機廠報告與驗收規範!V34)</f>
        <v>32.200000000000003</v>
      </c>
      <c r="H44" s="147">
        <f>IF(E44&lt;&gt;"-",(AVERAGE(E44:G44)-電機廠報告與驗收規範!$P$3)/電機廠報告與驗收規範!$P$3,"-")</f>
        <v>-3.0959752321979665E-3</v>
      </c>
      <c r="I44" s="131" t="e" cm="1">
        <f t="array" aca="1" ref="I44" ca="1">_xlfn.IFS(H44="-","-",ABS(H44)&lt;=$Q$12,"Yes",TRUE,"No")</f>
        <v>#NAME?</v>
      </c>
      <c r="J44" s="131" t="e">
        <f ca="1">IF(I44="No",_xlfn.TEXTJOIN("",TRUE,"平均電流誤差&gt;",$Q$12*100,"%"),"")</f>
        <v>#NAME?</v>
      </c>
      <c r="K44" s="159">
        <f t="shared" ref="K44:K51" si="8">IF(E44&lt;&gt;"-",(MAX(E44:G44)-MIN(E44:G44))/MIN(E44:G44),"-")</f>
        <v>6.2305295950154434E-3</v>
      </c>
      <c r="L44" s="131" t="e" cm="1">
        <f t="array" aca="1" ref="L44" ca="1">_xlfn.IFS(K44="-","-",K44&lt;=$Q$14,"Yes",TRUE,"No")</f>
        <v>#NAME?</v>
      </c>
      <c r="M44" s="148" t="e">
        <f t="shared" ca="1" si="7"/>
        <v>#NAME?</v>
      </c>
    </row>
    <row r="45" spans="1:13" x14ac:dyDescent="0.4">
      <c r="A45" s="640"/>
      <c r="B45" s="638"/>
      <c r="C45" s="676"/>
      <c r="D45" s="160">
        <f>電機廠報告與驗收規範!$J$35</f>
        <v>1.5</v>
      </c>
      <c r="E45" s="132" t="str">
        <f>IF(電機廠報告與驗收規範!T35="","-",電機廠報告與驗收規範!T35)</f>
        <v>-</v>
      </c>
      <c r="F45" s="132" t="str">
        <f>IF(電機廠報告與驗收規範!U35="","-",電機廠報告與驗收規範!U35)</f>
        <v>-</v>
      </c>
      <c r="G45" s="132" t="str">
        <f>IF(電機廠報告與驗收規範!V35="","-",電機廠報告與驗收規範!V35)</f>
        <v>-</v>
      </c>
      <c r="H45" s="147" t="str">
        <f>IF(E45&lt;&gt;"-",(AVERAGE(E45:G45)-電機廠報告與驗收規範!$P$3)/電機廠報告與驗收規範!$P$3,"-")</f>
        <v>-</v>
      </c>
      <c r="I45" s="131" t="e" cm="1">
        <f t="array" aca="1" ref="I45" ca="1">_xlfn.IFS(H45="-","-",ABS(H45)&lt;$Q$11,"Yes",TRUE,"No")</f>
        <v>#NAME?</v>
      </c>
      <c r="J45" s="131" t="e">
        <f t="shared" ref="J45:J51" ca="1" si="9">IF(I45="No",_xlfn.TEXTJOIN("",TRUE,"平均電流誤差&gt;",$Q$11*100,"%"),"")</f>
        <v>#NAME?</v>
      </c>
      <c r="K45" s="159" t="str">
        <f t="shared" si="8"/>
        <v>-</v>
      </c>
      <c r="L45" s="131" t="e" cm="1">
        <f t="array" aca="1" ref="L45" ca="1">_xlfn.IFS(K45="-","-",K45&lt;=$Q$14,"Yes",TRUE,"No")</f>
        <v>#NAME?</v>
      </c>
      <c r="M45" s="148" t="e">
        <f t="shared" ca="1" si="7"/>
        <v>#NAME?</v>
      </c>
    </row>
    <row r="46" spans="1:13" x14ac:dyDescent="0.4">
      <c r="A46" s="640"/>
      <c r="B46" s="638"/>
      <c r="C46" s="676"/>
      <c r="D46" s="160">
        <f>電機廠報告與驗收規範!$J$36</f>
        <v>2</v>
      </c>
      <c r="E46" s="132" t="str">
        <f>IF(電機廠報告與驗收規範!T36="","-",電機廠報告與驗收規範!T36)</f>
        <v>-</v>
      </c>
      <c r="F46" s="132" t="str">
        <f>IF(電機廠報告與驗收規範!U36="","-",電機廠報告與驗收規範!U36)</f>
        <v>-</v>
      </c>
      <c r="G46" s="132" t="str">
        <f>IF(電機廠報告與驗收規範!V36="","-",電機廠報告與驗收規範!V36)</f>
        <v>-</v>
      </c>
      <c r="H46" s="147" t="str">
        <f>IF(E46&lt;&gt;"-",(AVERAGE(E46:G46)-電機廠報告與驗收規範!$P$3)/電機廠報告與驗收規範!$P$3,"-")</f>
        <v>-</v>
      </c>
      <c r="I46" s="131" t="e" cm="1">
        <f t="array" aca="1" ref="I46" ca="1">_xlfn.IFS(H46="-","-",ABS(H46)&lt;=$Q$11,"Yes",TRUE,"No")</f>
        <v>#NAME?</v>
      </c>
      <c r="J46" s="131" t="e">
        <f t="shared" ca="1" si="9"/>
        <v>#NAME?</v>
      </c>
      <c r="K46" s="159" t="str">
        <f t="shared" si="8"/>
        <v>-</v>
      </c>
      <c r="L46" s="131" t="e" cm="1">
        <f t="array" aca="1" ref="L46" ca="1">_xlfn.IFS(K46="-","-",K46&lt;=$Q$14,"Yes",TRUE,"No")</f>
        <v>#NAME?</v>
      </c>
      <c r="M46" s="148" t="e">
        <f t="shared" ca="1" si="7"/>
        <v>#NAME?</v>
      </c>
    </row>
    <row r="47" spans="1:13" x14ac:dyDescent="0.4">
      <c r="A47" s="640"/>
      <c r="B47" s="638"/>
      <c r="C47" s="676"/>
      <c r="D47" s="160">
        <f>電機廠報告與驗收規範!$J$37</f>
        <v>2.5</v>
      </c>
      <c r="E47" s="132" t="str">
        <f>IF(電機廠報告與驗收規範!T37="","-",電機廠報告與驗收規範!T37)</f>
        <v>-</v>
      </c>
      <c r="F47" s="132" t="str">
        <f>IF(電機廠報告與驗收規範!U37="","-",電機廠報告與驗收規範!U37)</f>
        <v>-</v>
      </c>
      <c r="G47" s="132" t="str">
        <f>IF(電機廠報告與驗收規範!V37="","-",電機廠報告與驗收規範!V37)</f>
        <v>-</v>
      </c>
      <c r="H47" s="147" t="str">
        <f>IF(E47&lt;&gt;"-",(AVERAGE(E47:G47)-電機廠報告與驗收規範!$P$3)/電機廠報告與驗收規範!$P$3,"-")</f>
        <v>-</v>
      </c>
      <c r="I47" s="131" t="e" cm="1">
        <f t="array" aca="1" ref="I47" ca="1">_xlfn.IFS(H47="-","-",ABS(H47)&lt;=$Q$11,"Yes",TRUE,"No")</f>
        <v>#NAME?</v>
      </c>
      <c r="J47" s="131" t="e">
        <f t="shared" ca="1" si="9"/>
        <v>#NAME?</v>
      </c>
      <c r="K47" s="159" t="str">
        <f t="shared" si="8"/>
        <v>-</v>
      </c>
      <c r="L47" s="131" t="e" cm="1">
        <f t="array" aca="1" ref="L47" ca="1">_xlfn.IFS(K47="-","-",K47&lt;=$Q$14,"Yes",TRUE,"No")</f>
        <v>#NAME?</v>
      </c>
      <c r="M47" s="148" t="e">
        <f t="shared" ca="1" si="7"/>
        <v>#NAME?</v>
      </c>
    </row>
    <row r="48" spans="1:13" x14ac:dyDescent="0.4">
      <c r="A48" s="640"/>
      <c r="B48" s="638"/>
      <c r="C48" s="676"/>
      <c r="D48" s="160">
        <f>電機廠報告與驗收規範!$J$38</f>
        <v>3</v>
      </c>
      <c r="E48" s="132" t="str">
        <f>IF(電機廠報告與驗收規範!T38="","-",電機廠報告與驗收規範!T38)</f>
        <v>-</v>
      </c>
      <c r="F48" s="132" t="str">
        <f>IF(電機廠報告與驗收規範!U38="","-",電機廠報告與驗收規範!U38)</f>
        <v>-</v>
      </c>
      <c r="G48" s="132" t="str">
        <f>IF(電機廠報告與驗收規範!V38="","-",電機廠報告與驗收規範!V38)</f>
        <v>-</v>
      </c>
      <c r="H48" s="147" t="str">
        <f>IF(E48&lt;&gt;"-",(AVERAGE(E48:G48)-電機廠報告與驗收規範!$P$3)/電機廠報告與驗收規範!$P$3,"-")</f>
        <v>-</v>
      </c>
      <c r="I48" s="131" t="e" cm="1">
        <f t="array" aca="1" ref="I48" ca="1">_xlfn.IFS(H48="-","-",ABS(H48)&lt;=$Q$11,"Yes",TRUE,"No")</f>
        <v>#NAME?</v>
      </c>
      <c r="J48" s="131" t="e">
        <f t="shared" ca="1" si="9"/>
        <v>#NAME?</v>
      </c>
      <c r="K48" s="159" t="str">
        <f t="shared" si="8"/>
        <v>-</v>
      </c>
      <c r="L48" s="131" t="e" cm="1">
        <f t="array" aca="1" ref="L48" ca="1">_xlfn.IFS(K48="-","-",K48&lt;=$Q$14,"Yes",TRUE,"No")</f>
        <v>#NAME?</v>
      </c>
      <c r="M48" s="148" t="e">
        <f t="shared" ca="1" si="7"/>
        <v>#NAME?</v>
      </c>
    </row>
    <row r="49" spans="1:13" x14ac:dyDescent="0.4">
      <c r="A49" s="640"/>
      <c r="B49" s="638"/>
      <c r="C49" s="676"/>
      <c r="D49" s="160">
        <f>電機廠報告與驗收規範!$J$39</f>
        <v>3.5</v>
      </c>
      <c r="E49" s="132" t="str">
        <f>IF(電機廠報告與驗收規範!T39="","-",電機廠報告與驗收規範!T39)</f>
        <v>-</v>
      </c>
      <c r="F49" s="132" t="str">
        <f>IF(電機廠報告與驗收規範!U39="","-",電機廠報告與驗收規範!U39)</f>
        <v>-</v>
      </c>
      <c r="G49" s="132" t="str">
        <f>IF(電機廠報告與驗收規範!V39="","-",電機廠報告與驗收規範!V39)</f>
        <v>-</v>
      </c>
      <c r="H49" s="147" t="str">
        <f>IF(E49&lt;&gt;"-",(AVERAGE(E49:G49)-電機廠報告與驗收規範!$P$3)/電機廠報告與驗收規範!$P$3,"-")</f>
        <v>-</v>
      </c>
      <c r="I49" s="131" t="e" cm="1">
        <f t="array" aca="1" ref="I49" ca="1">_xlfn.IFS(H49="-","-",ABS(H49)&lt;=$Q$11,"Yes",TRUE,"No")</f>
        <v>#NAME?</v>
      </c>
      <c r="J49" s="131" t="e">
        <f t="shared" ca="1" si="9"/>
        <v>#NAME?</v>
      </c>
      <c r="K49" s="159" t="str">
        <f t="shared" si="8"/>
        <v>-</v>
      </c>
      <c r="L49" s="131" t="e" cm="1">
        <f t="array" aca="1" ref="L49" ca="1">_xlfn.IFS(K49="-","-",K49&lt;=$Q$14,"Yes",TRUE,"No")</f>
        <v>#NAME?</v>
      </c>
      <c r="M49" s="148" t="e">
        <f t="shared" ca="1" si="7"/>
        <v>#NAME?</v>
      </c>
    </row>
    <row r="50" spans="1:13" x14ac:dyDescent="0.4">
      <c r="A50" s="640"/>
      <c r="B50" s="638"/>
      <c r="C50" s="676"/>
      <c r="D50" s="160">
        <f>電機廠報告與驗收規範!$J$40</f>
        <v>4</v>
      </c>
      <c r="E50" s="132" t="str">
        <f>IF(電機廠報告與驗收規範!T40="","-",電機廠報告與驗收規範!T40)</f>
        <v>-</v>
      </c>
      <c r="F50" s="132" t="str">
        <f>IF(電機廠報告與驗收規範!U40="","-",電機廠報告與驗收規範!U40)</f>
        <v>-</v>
      </c>
      <c r="G50" s="132" t="str">
        <f>IF(電機廠報告與驗收規範!V40="","-",電機廠報告與驗收規範!V40)</f>
        <v>-</v>
      </c>
      <c r="H50" s="147" t="str">
        <f>IF(E50&lt;&gt;"-",(AVERAGE(E50:G50)-電機廠報告與驗收規範!$P$3)/電機廠報告與驗收規範!$P$3,"-")</f>
        <v>-</v>
      </c>
      <c r="I50" s="131" t="e" cm="1">
        <f t="array" aca="1" ref="I50" ca="1">_xlfn.IFS(H50="-","-",ABS(H50)&lt;=$Q$11,"Yes",TRUE,"No")</f>
        <v>#NAME?</v>
      </c>
      <c r="J50" s="131" t="e">
        <f t="shared" ca="1" si="9"/>
        <v>#NAME?</v>
      </c>
      <c r="K50" s="159" t="str">
        <f t="shared" si="8"/>
        <v>-</v>
      </c>
      <c r="L50" s="131" t="e" cm="1">
        <f t="array" aca="1" ref="L50" ca="1">_xlfn.IFS(K50="-","-",K50&lt;=$Q$14,"Yes",TRUE,"No")</f>
        <v>#NAME?</v>
      </c>
      <c r="M50" s="148" t="e">
        <f t="shared" ca="1" si="7"/>
        <v>#NAME?</v>
      </c>
    </row>
    <row r="51" spans="1:13" ht="17.5" thickBot="1" x14ac:dyDescent="0.45">
      <c r="A51" s="640"/>
      <c r="B51" s="638"/>
      <c r="C51" s="676"/>
      <c r="D51" s="183" t="str">
        <f>電機廠報告與驗收規範!$J$41</f>
        <v>最高轉速</v>
      </c>
      <c r="E51" s="141" t="str">
        <f>IF(電機廠報告與驗收規範!T41="","-",電機廠報告與驗收規範!T41)</f>
        <v>-</v>
      </c>
      <c r="F51" s="141" t="str">
        <f>IF(電機廠報告與驗收規範!U41="","-",電機廠報告與驗收規範!U41)</f>
        <v>-</v>
      </c>
      <c r="G51" s="141" t="str">
        <f>IF(電機廠報告與驗收規範!V41="","-",電機廠報告與驗收規範!V41)</f>
        <v>-</v>
      </c>
      <c r="H51" s="163" t="str">
        <f>IF(E51&lt;&gt;"-",(AVERAGE(E51:G51)-電機廠報告與驗收規範!$P$3)/電機廠報告與驗收規範!$P$3,"-")</f>
        <v>-</v>
      </c>
      <c r="I51" s="140" t="e" cm="1">
        <f t="array" aca="1" ref="I51" ca="1">_xlfn.IFS(H51="-","-",ABS(H51)&lt;=$Q$11,"Yes",TRUE,"No")</f>
        <v>#NAME?</v>
      </c>
      <c r="J51" s="140" t="e">
        <f t="shared" ca="1" si="9"/>
        <v>#NAME?</v>
      </c>
      <c r="K51" s="164" t="str">
        <f t="shared" si="8"/>
        <v>-</v>
      </c>
      <c r="L51" s="140" t="e" cm="1">
        <f t="array" aca="1" ref="L51" ca="1">_xlfn.IFS(K51="-","-",K51&lt;=$Q$14,"Yes",TRUE,"No")</f>
        <v>#NAME?</v>
      </c>
      <c r="M51" s="144" t="e">
        <f t="shared" ca="1" si="7"/>
        <v>#NAME?</v>
      </c>
    </row>
    <row r="52" spans="1:13" x14ac:dyDescent="0.4">
      <c r="A52" s="640"/>
      <c r="B52" s="638"/>
      <c r="C52" s="675"/>
      <c r="D52" s="656" t="s">
        <v>306</v>
      </c>
      <c r="E52" s="650" t="s">
        <v>336</v>
      </c>
      <c r="F52" s="650" t="s">
        <v>57</v>
      </c>
      <c r="G52" s="658" t="s">
        <v>337</v>
      </c>
      <c r="H52" s="659" t="s">
        <v>295</v>
      </c>
      <c r="I52" s="651" t="s">
        <v>296</v>
      </c>
      <c r="J52" s="122"/>
      <c r="K52" s="122"/>
      <c r="L52" s="122"/>
      <c r="M52" s="122"/>
    </row>
    <row r="53" spans="1:13" x14ac:dyDescent="0.4">
      <c r="A53" s="640"/>
      <c r="B53" s="638"/>
      <c r="C53" s="675"/>
      <c r="D53" s="657"/>
      <c r="E53" s="636"/>
      <c r="F53" s="636"/>
      <c r="G53" s="650"/>
      <c r="H53" s="625"/>
      <c r="I53" s="632"/>
      <c r="J53" s="122"/>
      <c r="K53" s="122"/>
      <c r="L53" s="122"/>
      <c r="M53" s="122"/>
    </row>
    <row r="54" spans="1:13" x14ac:dyDescent="0.4">
      <c r="A54" s="640"/>
      <c r="B54" s="638"/>
      <c r="C54" s="675"/>
      <c r="D54" s="146">
        <f>電機廠報告與驗收規範!$J$33</f>
        <v>0.5</v>
      </c>
      <c r="E54" s="132">
        <f>IF(電機廠報告與驗收規範!W33="","-",電機廠報告與驗收規範!W33)</f>
        <v>6.75</v>
      </c>
      <c r="F54" s="132">
        <f>IF(電機廠報告與驗收規範!Y33="","-",電機廠報告與驗收規範!Y33)</f>
        <v>0.89</v>
      </c>
      <c r="G54" s="147">
        <f t="shared" ref="G54:G62" si="10">IF(E32&lt;&gt;"-",(3^0.5*AVERAGE(E32:G32)*AVERAGE(E43:G43)*F54-E54*1000)/(E54*1000),"-")</f>
        <v>-1.3508358428165257E-2</v>
      </c>
      <c r="H54" s="131" t="e" cm="1">
        <f t="array" aca="1" ref="H54" ca="1">_xlfn.IFS(G54="-","-",ABS(G54)&lt;=$Q$7,"Yes",TRUE,"No")</f>
        <v>#NAME?</v>
      </c>
      <c r="I54" s="148" t="e">
        <f t="shared" ref="I54:I62" ca="1" si="11">IF(H54="No",_xlfn.TEXTJOIN("",TRUE,"輸入功率誤差&gt;",$Q$7*100,"%"),"")</f>
        <v>#NAME?</v>
      </c>
      <c r="J54" s="122"/>
      <c r="K54" s="122"/>
      <c r="L54" s="122"/>
      <c r="M54" s="122"/>
    </row>
    <row r="55" spans="1:13" x14ac:dyDescent="0.4">
      <c r="A55" s="640"/>
      <c r="B55" s="638"/>
      <c r="C55" s="675"/>
      <c r="D55" s="146">
        <f>電機廠報告與驗收規範!$J$34</f>
        <v>1</v>
      </c>
      <c r="E55" s="132">
        <f>IF(電機廠報告與驗收規範!W34="","-",電機廠報告與驗收規範!W34)</f>
        <v>12.53</v>
      </c>
      <c r="F55" s="132">
        <f>IF(電機廠報告與驗收規範!Y34="","-",電機廠報告與驗收規範!Y34)</f>
        <v>0.87</v>
      </c>
      <c r="G55" s="147">
        <f t="shared" si="10"/>
        <v>-2.588575912122412E-3</v>
      </c>
      <c r="H55" s="131" t="e" cm="1">
        <f t="array" aca="1" ref="H55" ca="1">_xlfn.IFS(G55="-","-",ABS(G55)&lt;=$Q$7,"Yes",TRUE,"No")</f>
        <v>#NAME?</v>
      </c>
      <c r="I55" s="148" t="e">
        <f t="shared" ca="1" si="11"/>
        <v>#NAME?</v>
      </c>
      <c r="J55" s="122"/>
      <c r="K55" s="122"/>
      <c r="L55" s="122"/>
      <c r="M55" s="122"/>
    </row>
    <row r="56" spans="1:13" x14ac:dyDescent="0.4">
      <c r="A56" s="640"/>
      <c r="B56" s="638"/>
      <c r="C56" s="675"/>
      <c r="D56" s="146">
        <f>電機廠報告與驗收規範!$J$35</f>
        <v>1.5</v>
      </c>
      <c r="E56" s="132" t="str">
        <f>IF(電機廠報告與驗收規範!W35="","-",電機廠報告與驗收規範!W35)</f>
        <v>-</v>
      </c>
      <c r="F56" s="132" t="str">
        <f>IF(電機廠報告與驗收規範!Y35="","-",電機廠報告與驗收規範!Y35)</f>
        <v>-</v>
      </c>
      <c r="G56" s="147" t="str">
        <f t="shared" si="10"/>
        <v>-</v>
      </c>
      <c r="H56" s="131" t="e" cm="1">
        <f t="array" aca="1" ref="H56" ca="1">_xlfn.IFS(G56="-","-",ABS(G56)&lt;=$Q$7,"Yes",TRUE,"No")</f>
        <v>#NAME?</v>
      </c>
      <c r="I56" s="148" t="e">
        <f t="shared" ca="1" si="11"/>
        <v>#NAME?</v>
      </c>
      <c r="J56" s="122"/>
      <c r="K56" s="122"/>
      <c r="L56" s="122"/>
      <c r="M56" s="122"/>
    </row>
    <row r="57" spans="1:13" x14ac:dyDescent="0.4">
      <c r="A57" s="640"/>
      <c r="B57" s="638"/>
      <c r="C57" s="675"/>
      <c r="D57" s="146">
        <f>電機廠報告與驗收規範!$J$36</f>
        <v>2</v>
      </c>
      <c r="E57" s="132" t="str">
        <f>IF(電機廠報告與驗收規範!W36="","-",電機廠報告與驗收規範!W36)</f>
        <v>-</v>
      </c>
      <c r="F57" s="132" t="str">
        <f>IF(電機廠報告與驗收規範!Y36="","-",電機廠報告與驗收規範!Y36)</f>
        <v>-</v>
      </c>
      <c r="G57" s="147" t="str">
        <f t="shared" si="10"/>
        <v>-</v>
      </c>
      <c r="H57" s="131" t="e" cm="1">
        <f t="array" aca="1" ref="H57" ca="1">_xlfn.IFS(G57="-","-",ABS(G57)&lt;=$Q$7,"Yes",TRUE,"No")</f>
        <v>#NAME?</v>
      </c>
      <c r="I57" s="148" t="e">
        <f t="shared" ca="1" si="11"/>
        <v>#NAME?</v>
      </c>
      <c r="J57" s="122"/>
      <c r="K57" s="122"/>
      <c r="L57" s="122"/>
      <c r="M57" s="122"/>
    </row>
    <row r="58" spans="1:13" x14ac:dyDescent="0.4">
      <c r="A58" s="640"/>
      <c r="B58" s="638"/>
      <c r="C58" s="675"/>
      <c r="D58" s="146">
        <f>電機廠報告與驗收規範!$J$37</f>
        <v>2.5</v>
      </c>
      <c r="E58" s="132" t="str">
        <f>IF(電機廠報告與驗收規範!W37="","-",電機廠報告與驗收規範!W37)</f>
        <v>-</v>
      </c>
      <c r="F58" s="132" t="str">
        <f>IF(電機廠報告與驗收規範!Y37="","-",電機廠報告與驗收規範!Y37)</f>
        <v>-</v>
      </c>
      <c r="G58" s="147" t="str">
        <f t="shared" si="10"/>
        <v>-</v>
      </c>
      <c r="H58" s="131" t="e" cm="1">
        <f t="array" aca="1" ref="H58" ca="1">_xlfn.IFS(G58="-","-",ABS(G58)&lt;=$Q$7,"Yes",TRUE,"No")</f>
        <v>#NAME?</v>
      </c>
      <c r="I58" s="148" t="e">
        <f t="shared" ca="1" si="11"/>
        <v>#NAME?</v>
      </c>
      <c r="J58" s="122"/>
      <c r="K58" s="122"/>
      <c r="L58" s="122"/>
      <c r="M58" s="122"/>
    </row>
    <row r="59" spans="1:13" x14ac:dyDescent="0.4">
      <c r="A59" s="640"/>
      <c r="B59" s="638"/>
      <c r="C59" s="675"/>
      <c r="D59" s="146">
        <f>電機廠報告與驗收規範!$J$38</f>
        <v>3</v>
      </c>
      <c r="E59" s="132" t="str">
        <f>IF(電機廠報告與驗收規範!W38="","-",電機廠報告與驗收規範!W38)</f>
        <v>-</v>
      </c>
      <c r="F59" s="132" t="str">
        <f>IF(電機廠報告與驗收規範!Y38="","-",電機廠報告與驗收規範!Y38)</f>
        <v>-</v>
      </c>
      <c r="G59" s="147" t="str">
        <f t="shared" si="10"/>
        <v>-</v>
      </c>
      <c r="H59" s="131" t="e" cm="1">
        <f t="array" aca="1" ref="H59" ca="1">_xlfn.IFS(G59="-","-",ABS(G59)&lt;=$Q$7,"Yes",TRUE,"No")</f>
        <v>#NAME?</v>
      </c>
      <c r="I59" s="148" t="e">
        <f t="shared" ca="1" si="11"/>
        <v>#NAME?</v>
      </c>
      <c r="J59" s="122"/>
      <c r="K59" s="122"/>
      <c r="L59" s="122"/>
      <c r="M59" s="122"/>
    </row>
    <row r="60" spans="1:13" x14ac:dyDescent="0.4">
      <c r="A60" s="640"/>
      <c r="B60" s="638"/>
      <c r="C60" s="675"/>
      <c r="D60" s="146">
        <f>電機廠報告與驗收規範!$J$39</f>
        <v>3.5</v>
      </c>
      <c r="E60" s="132" t="str">
        <f>IF(電機廠報告與驗收規範!W39="","-",電機廠報告與驗收規範!W39)</f>
        <v>-</v>
      </c>
      <c r="F60" s="132" t="str">
        <f>IF(電機廠報告與驗收規範!Y39="","-",電機廠報告與驗收規範!Y39)</f>
        <v>-</v>
      </c>
      <c r="G60" s="147" t="str">
        <f t="shared" si="10"/>
        <v>-</v>
      </c>
      <c r="H60" s="131" t="e" cm="1">
        <f t="array" aca="1" ref="H60" ca="1">_xlfn.IFS(G60="-","-",ABS(G60)&lt;=$Q$7,"Yes",TRUE,"No")</f>
        <v>#NAME?</v>
      </c>
      <c r="I60" s="148" t="e">
        <f t="shared" ca="1" si="11"/>
        <v>#NAME?</v>
      </c>
      <c r="J60" s="122"/>
      <c r="K60" s="122"/>
      <c r="L60" s="122"/>
      <c r="M60" s="122"/>
    </row>
    <row r="61" spans="1:13" x14ac:dyDescent="0.4">
      <c r="A61" s="640"/>
      <c r="B61" s="638"/>
      <c r="C61" s="675"/>
      <c r="D61" s="146">
        <f>電機廠報告與驗收規範!$J$40</f>
        <v>4</v>
      </c>
      <c r="E61" s="132" t="str">
        <f>IF(電機廠報告與驗收規範!W40="","-",電機廠報告與驗收規範!W40)</f>
        <v>-</v>
      </c>
      <c r="F61" s="132" t="str">
        <f>IF(電機廠報告與驗收規範!Y40="","-",電機廠報告與驗收規範!Y40)</f>
        <v>-</v>
      </c>
      <c r="G61" s="147" t="str">
        <f t="shared" si="10"/>
        <v>-</v>
      </c>
      <c r="H61" s="131" t="e" cm="1">
        <f t="array" aca="1" ref="H61" ca="1">_xlfn.IFS(G61="-","-",ABS(G61)&lt;=$Q$7,"Yes",TRUE,"No")</f>
        <v>#NAME?</v>
      </c>
      <c r="I61" s="148" t="e">
        <f t="shared" ca="1" si="11"/>
        <v>#NAME?</v>
      </c>
      <c r="J61" s="122"/>
      <c r="K61" s="122"/>
      <c r="L61" s="122"/>
      <c r="M61" s="122"/>
    </row>
    <row r="62" spans="1:13" ht="17.5" thickBot="1" x14ac:dyDescent="0.45">
      <c r="A62" s="640"/>
      <c r="B62" s="638"/>
      <c r="C62" s="675"/>
      <c r="D62" s="146" t="str">
        <f>電機廠報告與驗收規範!$J$41</f>
        <v>最高轉速</v>
      </c>
      <c r="E62" s="152" t="str">
        <f>IF(電機廠報告與驗收規範!W41="","-",電機廠報告與驗收規範!W41)</f>
        <v>-</v>
      </c>
      <c r="F62" s="152"/>
      <c r="G62" s="153" t="str">
        <f t="shared" si="10"/>
        <v>-</v>
      </c>
      <c r="H62" s="131" t="e" cm="1">
        <f t="array" aca="1" ref="H62" ca="1">_xlfn.IFS(G62="-","-",ABS(G62)&lt;=$Q$7,"Yes",TRUE,"No")</f>
        <v>#NAME?</v>
      </c>
      <c r="I62" s="154" t="e">
        <f t="shared" ca="1" si="11"/>
        <v>#NAME?</v>
      </c>
      <c r="J62" s="122"/>
      <c r="K62" s="122"/>
      <c r="L62" s="122"/>
      <c r="M62" s="122"/>
    </row>
    <row r="63" spans="1:13" x14ac:dyDescent="0.4">
      <c r="A63" s="640"/>
      <c r="B63" s="638"/>
      <c r="C63" s="675"/>
      <c r="D63" s="668" t="s">
        <v>306</v>
      </c>
      <c r="E63" s="635" t="s">
        <v>338</v>
      </c>
      <c r="F63" s="635" t="s">
        <v>339</v>
      </c>
      <c r="G63" s="669" t="s">
        <v>340</v>
      </c>
      <c r="H63" s="669" t="s">
        <v>295</v>
      </c>
      <c r="I63" s="631" t="s">
        <v>296</v>
      </c>
      <c r="J63" s="122"/>
      <c r="K63" s="122"/>
      <c r="L63" s="122"/>
      <c r="M63" s="122"/>
    </row>
    <row r="64" spans="1:13" x14ac:dyDescent="0.4">
      <c r="A64" s="640"/>
      <c r="B64" s="638"/>
      <c r="C64" s="675"/>
      <c r="D64" s="657"/>
      <c r="E64" s="636"/>
      <c r="F64" s="636"/>
      <c r="G64" s="625"/>
      <c r="H64" s="625"/>
      <c r="I64" s="632"/>
      <c r="J64" s="122"/>
      <c r="K64" s="122"/>
      <c r="L64" s="122"/>
      <c r="M64" s="122"/>
    </row>
    <row r="65" spans="1:13" x14ac:dyDescent="0.4">
      <c r="A65" s="640"/>
      <c r="B65" s="638"/>
      <c r="C65" s="675"/>
      <c r="D65" s="146">
        <f>電機廠報告與驗收規範!$J$33</f>
        <v>0.5</v>
      </c>
      <c r="E65" s="132">
        <f>IF(電機廠報告與驗收規範!X33="","-",電機廠報告與驗收規範!X33)</f>
        <v>5.5</v>
      </c>
      <c r="F65" s="132">
        <f>IF(電機廠報告與驗收規範!Z33="","-",電機廠報告與驗收規範!Z33)</f>
        <v>81.599999999999994</v>
      </c>
      <c r="G65" s="165">
        <f>IF(E54&lt;&gt;"-",(E54*F65/100-E65)/E65,"-")</f>
        <v>1.4545454545452944E-3</v>
      </c>
      <c r="H65" s="131" t="e" cm="1">
        <f t="array" aca="1" ref="H65" ca="1">_xlfn.IFS(G65="-","-",ABS(G65)&lt;=$Q$8,"Yes",TRUE,"No")</f>
        <v>#NAME?</v>
      </c>
      <c r="I65" s="148" t="e">
        <f t="shared" ref="I65:I73" ca="1" si="12">IF(H65="No",_xlfn.TEXTJOIN("",TRUE,"輸出功率誤差&gt;",$Q$8*100,"%"),"")</f>
        <v>#NAME?</v>
      </c>
      <c r="J65" s="122"/>
      <c r="K65" s="122"/>
      <c r="L65" s="122"/>
      <c r="M65" s="122"/>
    </row>
    <row r="66" spans="1:13" x14ac:dyDescent="0.4">
      <c r="A66" s="640"/>
      <c r="B66" s="638"/>
      <c r="C66" s="675"/>
      <c r="D66" s="146">
        <f>電機廠報告與驗收規範!$J$34</f>
        <v>1</v>
      </c>
      <c r="E66" s="132">
        <f>IF(電機廠報告與驗收規範!X34="","-",電機廠報告與驗收規範!X34)</f>
        <v>10.91</v>
      </c>
      <c r="F66" s="132">
        <f>IF(電機廠報告與驗收規範!Z34="","-",電機廠報告與驗收規範!Z34)</f>
        <v>87</v>
      </c>
      <c r="G66" s="165">
        <f t="shared" ref="G66:G73" si="13">IF(E55&lt;&gt;"-",(E55*F66/100-E66)/E66,"-")</f>
        <v>-8.1576535288731202E-4</v>
      </c>
      <c r="H66" s="131" t="e" cm="1">
        <f t="array" aca="1" ref="H66" ca="1">_xlfn.IFS(G66="-","-",ABS(G66)&lt;=$Q$8,"Yes",TRUE,"No")</f>
        <v>#NAME?</v>
      </c>
      <c r="I66" s="148" t="e">
        <f t="shared" ca="1" si="12"/>
        <v>#NAME?</v>
      </c>
      <c r="J66" s="122"/>
      <c r="K66" s="122"/>
      <c r="L66" s="122"/>
      <c r="M66" s="122"/>
    </row>
    <row r="67" spans="1:13" x14ac:dyDescent="0.4">
      <c r="A67" s="640"/>
      <c r="B67" s="638"/>
      <c r="C67" s="675"/>
      <c r="D67" s="146">
        <f>電機廠報告與驗收規範!$J$35</f>
        <v>1.5</v>
      </c>
      <c r="E67" s="132" t="str">
        <f>IF(電機廠報告與驗收規範!X35="","-",電機廠報告與驗收規範!X35)</f>
        <v>-</v>
      </c>
      <c r="F67" s="132" t="str">
        <f>IF(電機廠報告與驗收規範!Z35="","-",電機廠報告與驗收規範!Z35)</f>
        <v>-</v>
      </c>
      <c r="G67" s="165" t="str">
        <f t="shared" si="13"/>
        <v>-</v>
      </c>
      <c r="H67" s="131" t="e" cm="1">
        <f t="array" aca="1" ref="H67" ca="1">_xlfn.IFS(G67="-","-",ABS(G67)&lt;=$Q$8,"Yes",TRUE,"No")</f>
        <v>#NAME?</v>
      </c>
      <c r="I67" s="148" t="e">
        <f t="shared" ca="1" si="12"/>
        <v>#NAME?</v>
      </c>
      <c r="J67" s="122"/>
      <c r="K67" s="122"/>
      <c r="L67" s="122"/>
      <c r="M67" s="122"/>
    </row>
    <row r="68" spans="1:13" x14ac:dyDescent="0.4">
      <c r="A68" s="640"/>
      <c r="B68" s="638"/>
      <c r="C68" s="675"/>
      <c r="D68" s="146">
        <f>電機廠報告與驗收規範!$J$36</f>
        <v>2</v>
      </c>
      <c r="E68" s="132" t="str">
        <f>IF(電機廠報告與驗收規範!X36="","-",電機廠報告與驗收規範!X36)</f>
        <v>-</v>
      </c>
      <c r="F68" s="132" t="str">
        <f>IF(電機廠報告與驗收規範!Z36="","-",電機廠報告與驗收規範!Z36)</f>
        <v>-</v>
      </c>
      <c r="G68" s="165" t="str">
        <f t="shared" si="13"/>
        <v>-</v>
      </c>
      <c r="H68" s="131" t="e" cm="1">
        <f t="array" aca="1" ref="H68" ca="1">_xlfn.IFS(G68="-","-",ABS(G68)&lt;=$Q$8,"Yes",TRUE,"No")</f>
        <v>#NAME?</v>
      </c>
      <c r="I68" s="148" t="e">
        <f t="shared" ca="1" si="12"/>
        <v>#NAME?</v>
      </c>
      <c r="J68" s="122"/>
      <c r="K68" s="122"/>
      <c r="L68" s="122"/>
      <c r="M68" s="122"/>
    </row>
    <row r="69" spans="1:13" x14ac:dyDescent="0.4">
      <c r="A69" s="640"/>
      <c r="B69" s="638"/>
      <c r="C69" s="675"/>
      <c r="D69" s="146">
        <f>電機廠報告與驗收規範!$J$37</f>
        <v>2.5</v>
      </c>
      <c r="E69" s="132" t="str">
        <f>IF(電機廠報告與驗收規範!X37="","-",電機廠報告與驗收規範!X37)</f>
        <v>-</v>
      </c>
      <c r="F69" s="132" t="str">
        <f>IF(電機廠報告與驗收規範!Z37="","-",電機廠報告與驗收規範!Z37)</f>
        <v>-</v>
      </c>
      <c r="G69" s="165" t="str">
        <f t="shared" si="13"/>
        <v>-</v>
      </c>
      <c r="H69" s="131" t="e" cm="1">
        <f t="array" aca="1" ref="H69" ca="1">_xlfn.IFS(G69="-","-",ABS(G69)&lt;=$Q$8,"Yes",TRUE,"No")</f>
        <v>#NAME?</v>
      </c>
      <c r="I69" s="148" t="e">
        <f t="shared" ca="1" si="12"/>
        <v>#NAME?</v>
      </c>
      <c r="J69" s="122"/>
      <c r="K69" s="122"/>
      <c r="L69" s="122"/>
      <c r="M69" s="122"/>
    </row>
    <row r="70" spans="1:13" x14ac:dyDescent="0.4">
      <c r="A70" s="640"/>
      <c r="B70" s="638"/>
      <c r="C70" s="675"/>
      <c r="D70" s="146">
        <f>電機廠報告與驗收規範!$J$38</f>
        <v>3</v>
      </c>
      <c r="E70" s="132" t="str">
        <f>IF(電機廠報告與驗收規範!X38="","-",電機廠報告與驗收規範!X38)</f>
        <v>-</v>
      </c>
      <c r="F70" s="132" t="str">
        <f>IF(電機廠報告與驗收規範!Z38="","-",電機廠報告與驗收規範!Z38)</f>
        <v>-</v>
      </c>
      <c r="G70" s="165" t="str">
        <f t="shared" si="13"/>
        <v>-</v>
      </c>
      <c r="H70" s="131" t="e" cm="1">
        <f t="array" aca="1" ref="H70" ca="1">_xlfn.IFS(G70="-","-",ABS(G70)&lt;=$Q$8,"Yes",TRUE,"No")</f>
        <v>#NAME?</v>
      </c>
      <c r="I70" s="148" t="e">
        <f t="shared" ca="1" si="12"/>
        <v>#NAME?</v>
      </c>
      <c r="J70" s="122"/>
      <c r="K70" s="122"/>
      <c r="L70" s="122"/>
      <c r="M70" s="122"/>
    </row>
    <row r="71" spans="1:13" x14ac:dyDescent="0.4">
      <c r="A71" s="640"/>
      <c r="B71" s="638"/>
      <c r="C71" s="675"/>
      <c r="D71" s="146">
        <f>電機廠報告與驗收規範!$J$39</f>
        <v>3.5</v>
      </c>
      <c r="E71" s="132" t="str">
        <f>IF(電機廠報告與驗收規範!X39="","-",電機廠報告與驗收規範!X39)</f>
        <v>-</v>
      </c>
      <c r="F71" s="132" t="str">
        <f>IF(電機廠報告與驗收規範!Z39="","-",電機廠報告與驗收規範!Z39)</f>
        <v>-</v>
      </c>
      <c r="G71" s="165" t="str">
        <f t="shared" si="13"/>
        <v>-</v>
      </c>
      <c r="H71" s="131" t="e" cm="1">
        <f t="array" aca="1" ref="H71" ca="1">_xlfn.IFS(G71="-","-",ABS(G71)&lt;=$Q$8,"Yes",TRUE,"No")</f>
        <v>#NAME?</v>
      </c>
      <c r="I71" s="148" t="e">
        <f t="shared" ca="1" si="12"/>
        <v>#NAME?</v>
      </c>
      <c r="J71" s="122"/>
      <c r="K71" s="122"/>
      <c r="L71" s="122"/>
      <c r="M71" s="122"/>
    </row>
    <row r="72" spans="1:13" x14ac:dyDescent="0.4">
      <c r="A72" s="640"/>
      <c r="B72" s="638"/>
      <c r="C72" s="675"/>
      <c r="D72" s="146">
        <f>電機廠報告與驗收規範!$J$40</f>
        <v>4</v>
      </c>
      <c r="E72" s="132" t="str">
        <f>IF(電機廠報告與驗收規範!X40="","-",電機廠報告與驗收規範!X40)</f>
        <v>-</v>
      </c>
      <c r="F72" s="132" t="str">
        <f>IF(電機廠報告與驗收規範!Z40="","-",電機廠報告與驗收規範!Z40)</f>
        <v>-</v>
      </c>
      <c r="G72" s="165" t="str">
        <f t="shared" si="13"/>
        <v>-</v>
      </c>
      <c r="H72" s="131" t="e" cm="1">
        <f t="array" aca="1" ref="H72" ca="1">_xlfn.IFS(G72="-","-",ABS(G72)&lt;=$Q$8,"Yes",TRUE,"No")</f>
        <v>#NAME?</v>
      </c>
      <c r="I72" s="148" t="e">
        <f t="shared" ca="1" si="12"/>
        <v>#NAME?</v>
      </c>
      <c r="J72" s="122"/>
      <c r="K72" s="122"/>
      <c r="L72" s="122"/>
      <c r="M72" s="122"/>
    </row>
    <row r="73" spans="1:13" ht="17.5" thickBot="1" x14ac:dyDescent="0.45">
      <c r="A73" s="660"/>
      <c r="B73" s="654"/>
      <c r="C73" s="677"/>
      <c r="D73" s="146" t="str">
        <f>電機廠報告與驗收規範!$J$41</f>
        <v>最高轉速</v>
      </c>
      <c r="E73" s="152" t="str">
        <f>IF(電機廠報告與驗收規範!X41="","-",電機廠報告與驗收規範!X41)</f>
        <v>-</v>
      </c>
      <c r="F73" s="152" t="str">
        <f>IF(電機廠報告與驗收規範!Z41="","-",電機廠報告與驗收規範!Z41)</f>
        <v>-</v>
      </c>
      <c r="G73" s="166" t="str">
        <f t="shared" si="13"/>
        <v>-</v>
      </c>
      <c r="H73" s="131" t="e" cm="1">
        <f t="array" aca="1" ref="H73" ca="1">_xlfn.IFS(G73="-","-",ABS(G73)&lt;=$Q$8,"Yes",TRUE,"No")</f>
        <v>#NAME?</v>
      </c>
      <c r="I73" s="154" t="e">
        <f t="shared" ca="1" si="12"/>
        <v>#NAME?</v>
      </c>
      <c r="J73" s="122"/>
      <c r="K73" s="122"/>
      <c r="L73" s="122"/>
      <c r="M73" s="122"/>
    </row>
    <row r="74" spans="1:13" ht="17.5" customHeight="1" x14ac:dyDescent="0.4">
      <c r="A74" s="639">
        <v>11</v>
      </c>
      <c r="B74" s="637" t="s">
        <v>317</v>
      </c>
      <c r="C74" s="361" t="s">
        <v>341</v>
      </c>
      <c r="D74" s="648" t="s">
        <v>342</v>
      </c>
      <c r="E74" s="635" t="s">
        <v>307</v>
      </c>
      <c r="F74" s="646" t="s">
        <v>308</v>
      </c>
      <c r="G74" s="635" t="s">
        <v>343</v>
      </c>
      <c r="H74" s="637" t="s">
        <v>295</v>
      </c>
      <c r="I74" s="631" t="s">
        <v>296</v>
      </c>
      <c r="J74" s="122"/>
      <c r="K74" s="122"/>
      <c r="L74" s="122"/>
      <c r="M74" s="122"/>
    </row>
    <row r="75" spans="1:13" x14ac:dyDescent="0.4">
      <c r="A75" s="640"/>
      <c r="B75" s="638"/>
      <c r="C75" s="363"/>
      <c r="D75" s="649"/>
      <c r="E75" s="636"/>
      <c r="F75" s="647"/>
      <c r="G75" s="636"/>
      <c r="H75" s="638"/>
      <c r="I75" s="632"/>
      <c r="J75" s="122"/>
      <c r="K75" s="122"/>
      <c r="L75" s="122"/>
      <c r="M75" s="122"/>
    </row>
    <row r="76" spans="1:13" x14ac:dyDescent="0.4">
      <c r="A76" s="640"/>
      <c r="B76" s="638"/>
      <c r="C76" s="363"/>
      <c r="D76" s="150" t="str">
        <f>電機廠報告與驗收規範!$J$44</f>
        <v>50%</v>
      </c>
      <c r="E76" s="131">
        <f>電機廠報告與驗收規範!$J$3*D76</f>
        <v>750</v>
      </c>
      <c r="F76" s="132">
        <f>IF(電機廠報告與驗收規範!N44="","-",電機廠報告與驗收規範!N44)</f>
        <v>749</v>
      </c>
      <c r="G76" s="165">
        <f>IF(F76&lt;&gt;"-",(F76-E76)/E76,"-")</f>
        <v>-1.3333333333333333E-3</v>
      </c>
      <c r="H76" s="131" t="e" cm="1">
        <f t="array" aca="1" ref="H76" ca="1">_xlfn.IFS(G76="-","-",ABS(G76)&lt;=$Q$15,"Yes",TRUE,"No")</f>
        <v>#NAME?</v>
      </c>
      <c r="I76" s="148" t="e">
        <f t="shared" ref="I76:I84" ca="1" si="14">IF(H76="No",_xlfn.TEXTJOIN("",TRUE,"轉速誤差&gt;",$Q$15*100,"%"),"")</f>
        <v>#NAME?</v>
      </c>
      <c r="J76" s="122"/>
      <c r="K76" s="122"/>
      <c r="L76" s="122"/>
      <c r="M76" s="122"/>
    </row>
    <row r="77" spans="1:13" x14ac:dyDescent="0.4">
      <c r="A77" s="640"/>
      <c r="B77" s="638"/>
      <c r="C77" s="363"/>
      <c r="D77" s="150">
        <f>電機廠報告與驗收規範!$J$45</f>
        <v>1</v>
      </c>
      <c r="E77" s="131">
        <f>電機廠報告與驗收規範!$J$3*D77</f>
        <v>1500</v>
      </c>
      <c r="F77" s="132">
        <f>IF(電機廠報告與驗收規範!N45="","-",電機廠報告與驗收規範!N45)</f>
        <v>1490</v>
      </c>
      <c r="G77" s="165">
        <f t="shared" ref="G77:G84" si="15">IF(F77&lt;&gt;"-",(F77-E77)/E77,"-")</f>
        <v>-6.6666666666666671E-3</v>
      </c>
      <c r="H77" s="131" t="e" cm="1">
        <f t="array" aca="1" ref="H77" ca="1">_xlfn.IFS(G77="-","-",ABS(G77)&lt;=$Q$15,"Yes",TRUE,"No")</f>
        <v>#NAME?</v>
      </c>
      <c r="I77" s="148" t="e">
        <f t="shared" ca="1" si="14"/>
        <v>#NAME?</v>
      </c>
      <c r="J77" s="122"/>
      <c r="K77" s="122"/>
      <c r="L77" s="122"/>
      <c r="M77" s="122"/>
    </row>
    <row r="78" spans="1:13" x14ac:dyDescent="0.4">
      <c r="A78" s="640"/>
      <c r="B78" s="638"/>
      <c r="C78" s="363"/>
      <c r="D78" s="150">
        <f>電機廠報告與驗收規範!$J$46</f>
        <v>1.5</v>
      </c>
      <c r="E78" s="131">
        <f>電機廠報告與驗收規範!$J$3*D78</f>
        <v>2250</v>
      </c>
      <c r="F78" s="132" t="str">
        <f>IF(電機廠報告與驗收規範!N46="","-",電機廠報告與驗收規範!N46)</f>
        <v>-</v>
      </c>
      <c r="G78" s="165" t="str">
        <f t="shared" si="15"/>
        <v>-</v>
      </c>
      <c r="H78" s="131" t="e" cm="1">
        <f t="array" aca="1" ref="H78" ca="1">_xlfn.IFS(G78="-","-",ABS(G78)&lt;=$Q$15,"Yes",TRUE,"No")</f>
        <v>#NAME?</v>
      </c>
      <c r="I78" s="148" t="e">
        <f t="shared" ca="1" si="14"/>
        <v>#NAME?</v>
      </c>
      <c r="J78" s="122"/>
      <c r="K78" s="122"/>
      <c r="L78" s="122"/>
      <c r="M78" s="122"/>
    </row>
    <row r="79" spans="1:13" x14ac:dyDescent="0.4">
      <c r="A79" s="640"/>
      <c r="B79" s="638"/>
      <c r="C79" s="363"/>
      <c r="D79" s="150">
        <f>電機廠報告與驗收規範!$J$47</f>
        <v>2</v>
      </c>
      <c r="E79" s="131">
        <f>電機廠報告與驗收規範!$J$3*D79</f>
        <v>3000</v>
      </c>
      <c r="F79" s="132" t="str">
        <f>IF(電機廠報告與驗收規範!N47="","-",電機廠報告與驗收規範!N47)</f>
        <v>-</v>
      </c>
      <c r="G79" s="165" t="str">
        <f t="shared" si="15"/>
        <v>-</v>
      </c>
      <c r="H79" s="131" t="e" cm="1">
        <f t="array" aca="1" ref="H79" ca="1">_xlfn.IFS(G79="-","-",ABS(G79)&lt;=$Q$15,"Yes",TRUE,"No")</f>
        <v>#NAME?</v>
      </c>
      <c r="I79" s="148" t="e">
        <f t="shared" ca="1" si="14"/>
        <v>#NAME?</v>
      </c>
      <c r="J79" s="122"/>
      <c r="K79" s="122"/>
      <c r="L79" s="122"/>
      <c r="M79" s="122"/>
    </row>
    <row r="80" spans="1:13" x14ac:dyDescent="0.4">
      <c r="A80" s="640"/>
      <c r="B80" s="638"/>
      <c r="C80" s="363"/>
      <c r="D80" s="150">
        <f>電機廠報告與驗收規範!$J$48</f>
        <v>2.5</v>
      </c>
      <c r="E80" s="131">
        <f>電機廠報告與驗收規範!$J$3*D80</f>
        <v>3750</v>
      </c>
      <c r="F80" s="132" t="str">
        <f>IF(電機廠報告與驗收規範!N48="","-",電機廠報告與驗收規範!N48)</f>
        <v>-</v>
      </c>
      <c r="G80" s="165" t="str">
        <f t="shared" si="15"/>
        <v>-</v>
      </c>
      <c r="H80" s="131" t="e" cm="1">
        <f t="array" aca="1" ref="H80" ca="1">_xlfn.IFS(G80="-","-",ABS(G80)&lt;=$Q$15,"Yes",TRUE,"No")</f>
        <v>#NAME?</v>
      </c>
      <c r="I80" s="148" t="e">
        <f t="shared" ca="1" si="14"/>
        <v>#NAME?</v>
      </c>
      <c r="J80" s="122"/>
      <c r="K80" s="122"/>
      <c r="L80" s="122"/>
      <c r="M80" s="122"/>
    </row>
    <row r="81" spans="1:13" x14ac:dyDescent="0.4">
      <c r="A81" s="640"/>
      <c r="B81" s="638"/>
      <c r="C81" s="363"/>
      <c r="D81" s="150">
        <f>電機廠報告與驗收規範!$J$49</f>
        <v>3</v>
      </c>
      <c r="E81" s="131">
        <f>電機廠報告與驗收規範!$J$3*D81</f>
        <v>4500</v>
      </c>
      <c r="F81" s="132" t="str">
        <f>IF(電機廠報告與驗收規範!N49="","-",電機廠報告與驗收規範!N49)</f>
        <v>-</v>
      </c>
      <c r="G81" s="165" t="str">
        <f t="shared" si="15"/>
        <v>-</v>
      </c>
      <c r="H81" s="131" t="e" cm="1">
        <f t="array" aca="1" ref="H81" ca="1">_xlfn.IFS(G81="-","-",ABS(G81)&lt;=$Q$15,"Yes",TRUE,"No")</f>
        <v>#NAME?</v>
      </c>
      <c r="I81" s="148" t="e">
        <f t="shared" ca="1" si="14"/>
        <v>#NAME?</v>
      </c>
      <c r="J81" s="122"/>
      <c r="K81" s="122"/>
      <c r="L81" s="122"/>
      <c r="M81" s="122"/>
    </row>
    <row r="82" spans="1:13" x14ac:dyDescent="0.4">
      <c r="A82" s="640"/>
      <c r="B82" s="638"/>
      <c r="C82" s="363"/>
      <c r="D82" s="150">
        <f>電機廠報告與驗收規範!$J$50</f>
        <v>3.5</v>
      </c>
      <c r="E82" s="131">
        <f>電機廠報告與驗收規範!$J$3*D82</f>
        <v>5250</v>
      </c>
      <c r="F82" s="132" t="str">
        <f>IF(電機廠報告與驗收規範!N50="","-",電機廠報告與驗收規範!N50)</f>
        <v>-</v>
      </c>
      <c r="G82" s="165" t="str">
        <f t="shared" si="15"/>
        <v>-</v>
      </c>
      <c r="H82" s="131" t="e" cm="1">
        <f t="array" aca="1" ref="H82" ca="1">_xlfn.IFS(G82="-","-",ABS(G82)&lt;=$Q$15,"Yes",TRUE,"No")</f>
        <v>#NAME?</v>
      </c>
      <c r="I82" s="148" t="e">
        <f t="shared" ca="1" si="14"/>
        <v>#NAME?</v>
      </c>
      <c r="J82" s="122"/>
      <c r="K82" s="122"/>
      <c r="L82" s="122"/>
      <c r="M82" s="122"/>
    </row>
    <row r="83" spans="1:13" x14ac:dyDescent="0.4">
      <c r="A83" s="640"/>
      <c r="B83" s="638"/>
      <c r="C83" s="363"/>
      <c r="D83" s="150">
        <f>電機廠報告與驗收規範!$J$51</f>
        <v>4</v>
      </c>
      <c r="E83" s="131">
        <f>電機廠報告與驗收規範!$J$3*D83</f>
        <v>6000</v>
      </c>
      <c r="F83" s="132" t="str">
        <f>IF(電機廠報告與驗收規範!N51="","-",電機廠報告與驗收規範!N51)</f>
        <v>-</v>
      </c>
      <c r="G83" s="165" t="str">
        <f t="shared" si="15"/>
        <v>-</v>
      </c>
      <c r="H83" s="131" t="e" cm="1">
        <f t="array" aca="1" ref="H83" ca="1">_xlfn.IFS(G83="-","-",ABS(G83)&lt;=$Q$15,"Yes",TRUE,"No")</f>
        <v>#NAME?</v>
      </c>
      <c r="I83" s="148" t="e">
        <f t="shared" ca="1" si="14"/>
        <v>#NAME?</v>
      </c>
      <c r="J83" s="122"/>
      <c r="K83" s="122"/>
      <c r="L83" s="122"/>
      <c r="M83" s="122"/>
    </row>
    <row r="84" spans="1:13" ht="17.5" thickBot="1" x14ac:dyDescent="0.45">
      <c r="A84" s="640"/>
      <c r="B84" s="638"/>
      <c r="C84" s="363"/>
      <c r="D84" s="150" t="str">
        <f>電機廠報告與驗收規範!$J$52</f>
        <v>最高轉速</v>
      </c>
      <c r="E84" s="151">
        <f>電機廠報告與驗收規範!H5</f>
        <v>8000</v>
      </c>
      <c r="F84" s="152" t="str">
        <f>IF(電機廠報告與驗收規範!N52="","-",電機廠報告與驗收規範!N52)</f>
        <v>-</v>
      </c>
      <c r="G84" s="166" t="str">
        <f t="shared" si="15"/>
        <v>-</v>
      </c>
      <c r="H84" s="131" t="e" cm="1">
        <f t="array" aca="1" ref="H84" ca="1">_xlfn.IFS(G84="-","-",ABS(G84)&lt;=$Q$15,"Yes",TRUE,"No")</f>
        <v>#NAME?</v>
      </c>
      <c r="I84" s="154" t="e">
        <f t="shared" ca="1" si="14"/>
        <v>#NAME?</v>
      </c>
      <c r="J84" s="122"/>
      <c r="K84" s="122"/>
      <c r="L84" s="122"/>
      <c r="M84" s="122"/>
    </row>
    <row r="85" spans="1:13" x14ac:dyDescent="0.4">
      <c r="A85" s="640"/>
      <c r="B85" s="638"/>
      <c r="C85" s="363"/>
      <c r="D85" s="648" t="s">
        <v>342</v>
      </c>
      <c r="E85" s="646" t="s">
        <v>320</v>
      </c>
      <c r="F85" s="646" t="s">
        <v>321</v>
      </c>
      <c r="G85" s="635" t="s">
        <v>322</v>
      </c>
      <c r="H85" s="637" t="s">
        <v>323</v>
      </c>
      <c r="I85" s="637" t="s">
        <v>295</v>
      </c>
      <c r="J85" s="631" t="s">
        <v>296</v>
      </c>
      <c r="K85" s="122"/>
      <c r="L85" s="122"/>
      <c r="M85" s="122"/>
    </row>
    <row r="86" spans="1:13" x14ac:dyDescent="0.4">
      <c r="A86" s="640"/>
      <c r="B86" s="638"/>
      <c r="C86" s="363"/>
      <c r="D86" s="649"/>
      <c r="E86" s="647"/>
      <c r="F86" s="647"/>
      <c r="G86" s="636"/>
      <c r="H86" s="638"/>
      <c r="I86" s="638"/>
      <c r="J86" s="632"/>
      <c r="K86" s="122"/>
      <c r="L86" s="122"/>
      <c r="M86" s="122"/>
    </row>
    <row r="87" spans="1:13" x14ac:dyDescent="0.4">
      <c r="A87" s="640"/>
      <c r="B87" s="638"/>
      <c r="C87" s="363"/>
      <c r="D87" s="150" t="str">
        <f>電機廠報告與驗收規範!$J$44</f>
        <v>50%</v>
      </c>
      <c r="E87" s="155">
        <f>電機廠報告與驗收規範!L44</f>
        <v>1.5</v>
      </c>
      <c r="F87" s="156">
        <f>電機廠報告與驗收規範!M44</f>
        <v>105</v>
      </c>
      <c r="G87" s="132">
        <f>IF(電機廠報告與驗收規範!P44="","-",電機廠報告與驗收規範!P44)</f>
        <v>105.3</v>
      </c>
      <c r="H87" s="147">
        <f>IF(G87&lt;&gt;"-",(G87-F87)/F87,"-")</f>
        <v>2.8571428571428303E-3</v>
      </c>
      <c r="I87" s="131" t="e" cm="1">
        <f t="array" aca="1" ref="I87" ca="1">_xlfn.IFS(H87="-","-",ABS(H87)&lt;=$Q$16,"Yes",TRUE,"No")</f>
        <v>#NAME?</v>
      </c>
      <c r="J87" s="148" t="e">
        <f t="shared" ref="J87:J95" ca="1" si="16">IF(I87="No",_xlfn.TEXTJOIN("",TRUE,"轉矩誤差&gt;",$Q$16*100,"%"),"")</f>
        <v>#NAME?</v>
      </c>
      <c r="K87" s="122"/>
      <c r="L87" s="122"/>
      <c r="M87" s="122"/>
    </row>
    <row r="88" spans="1:13" x14ac:dyDescent="0.4">
      <c r="A88" s="640"/>
      <c r="B88" s="638"/>
      <c r="C88" s="363"/>
      <c r="D88" s="150">
        <f>電機廠報告與驗收規範!$J$45</f>
        <v>1</v>
      </c>
      <c r="E88" s="155">
        <f>電機廠報告與驗收規範!L45</f>
        <v>1.5</v>
      </c>
      <c r="F88" s="156">
        <f>電機廠報告與驗收規範!M45</f>
        <v>105</v>
      </c>
      <c r="G88" s="132">
        <f>IF(電機廠報告與驗收規範!P45="","-",電機廠報告與驗收規範!P45)</f>
        <v>105.9</v>
      </c>
      <c r="H88" s="147">
        <f t="shared" ref="H88:H95" si="17">IF(G88&lt;&gt;"-",(G88-F88)/F88,"-")</f>
        <v>8.5714285714286256E-3</v>
      </c>
      <c r="I88" s="131" t="e" cm="1">
        <f t="array" aca="1" ref="I88" ca="1">_xlfn.IFS(H88="-","-",ABS(H88)&lt;=$Q$16,"Yes",TRUE,"No")</f>
        <v>#NAME?</v>
      </c>
      <c r="J88" s="148" t="e">
        <f t="shared" ca="1" si="16"/>
        <v>#NAME?</v>
      </c>
      <c r="K88" s="122"/>
      <c r="L88" s="122"/>
      <c r="M88" s="122"/>
    </row>
    <row r="89" spans="1:13" x14ac:dyDescent="0.4">
      <c r="A89" s="640"/>
      <c r="B89" s="638"/>
      <c r="C89" s="363"/>
      <c r="D89" s="150">
        <f>電機廠報告與驗收規範!$J$46</f>
        <v>1.5</v>
      </c>
      <c r="E89" s="155">
        <f>電機廠報告與驗收規範!L46</f>
        <v>1</v>
      </c>
      <c r="F89" s="156">
        <f>電機廠報告與驗收規範!M46</f>
        <v>70</v>
      </c>
      <c r="G89" s="132" t="str">
        <f>IF(電機廠報告與驗收規範!P46="","-",電機廠報告與驗收規範!P46)</f>
        <v>-</v>
      </c>
      <c r="H89" s="147" t="str">
        <f t="shared" si="17"/>
        <v>-</v>
      </c>
      <c r="I89" s="131" t="e" cm="1">
        <f t="array" aca="1" ref="I89" ca="1">_xlfn.IFS(H89="-","-",ABS(H89)&lt;=$Q$16,"Yes",TRUE,"No")</f>
        <v>#NAME?</v>
      </c>
      <c r="J89" s="148" t="e">
        <f t="shared" ca="1" si="16"/>
        <v>#NAME?</v>
      </c>
      <c r="K89" s="122"/>
      <c r="L89" s="122"/>
      <c r="M89" s="122"/>
    </row>
    <row r="90" spans="1:13" x14ac:dyDescent="0.4">
      <c r="A90" s="640"/>
      <c r="B90" s="638"/>
      <c r="C90" s="363"/>
      <c r="D90" s="150">
        <f>電機廠報告與驗收規範!$J$47</f>
        <v>2</v>
      </c>
      <c r="E90" s="155">
        <f>電機廠報告與驗收規範!L47</f>
        <v>0.75</v>
      </c>
      <c r="F90" s="156">
        <f>電機廠報告與驗收規範!M47</f>
        <v>52.5</v>
      </c>
      <c r="G90" s="132" t="str">
        <f>IF(電機廠報告與驗收規範!P47="","-",電機廠報告與驗收規範!P47)</f>
        <v>-</v>
      </c>
      <c r="H90" s="147" t="str">
        <f t="shared" si="17"/>
        <v>-</v>
      </c>
      <c r="I90" s="131" t="e" cm="1">
        <f t="array" aca="1" ref="I90" ca="1">_xlfn.IFS(H90="-","-",ABS(H90)&lt;=$Q$16,"Yes",TRUE,"No")</f>
        <v>#NAME?</v>
      </c>
      <c r="J90" s="148" t="e">
        <f t="shared" ca="1" si="16"/>
        <v>#NAME?</v>
      </c>
      <c r="K90" s="122"/>
      <c r="L90" s="122"/>
      <c r="M90" s="122"/>
    </row>
    <row r="91" spans="1:13" x14ac:dyDescent="0.4">
      <c r="A91" s="640"/>
      <c r="B91" s="638"/>
      <c r="C91" s="363"/>
      <c r="D91" s="150">
        <f>電機廠報告與驗收規範!$J$48</f>
        <v>2.5</v>
      </c>
      <c r="E91" s="155">
        <f>電機廠報告與驗收規範!L48</f>
        <v>0.6</v>
      </c>
      <c r="F91" s="156">
        <f>電機廠報告與驗收規範!M48</f>
        <v>42</v>
      </c>
      <c r="G91" s="132" t="str">
        <f>IF(電機廠報告與驗收規範!P48="","-",電機廠報告與驗收規範!P48)</f>
        <v>-</v>
      </c>
      <c r="H91" s="147" t="str">
        <f t="shared" si="17"/>
        <v>-</v>
      </c>
      <c r="I91" s="131" t="e" cm="1">
        <f t="array" aca="1" ref="I91" ca="1">_xlfn.IFS(H91="-","-",ABS(H91)&lt;=$Q$16,"Yes",TRUE,"No")</f>
        <v>#NAME?</v>
      </c>
      <c r="J91" s="148" t="e">
        <f t="shared" ca="1" si="16"/>
        <v>#NAME?</v>
      </c>
      <c r="K91" s="122"/>
      <c r="L91" s="122"/>
      <c r="M91" s="122"/>
    </row>
    <row r="92" spans="1:13" x14ac:dyDescent="0.4">
      <c r="A92" s="640"/>
      <c r="B92" s="638"/>
      <c r="C92" s="363"/>
      <c r="D92" s="150">
        <f>電機廠報告與驗收規範!$J$49</f>
        <v>3</v>
      </c>
      <c r="E92" s="155">
        <f>電機廠報告與驗收規範!L49</f>
        <v>0.5</v>
      </c>
      <c r="F92" s="156">
        <f>電機廠報告與驗收規範!M49</f>
        <v>35</v>
      </c>
      <c r="G92" s="132" t="str">
        <f>IF(電機廠報告與驗收規範!P49="","-",電機廠報告與驗收規範!P49)</f>
        <v>-</v>
      </c>
      <c r="H92" s="147" t="str">
        <f t="shared" si="17"/>
        <v>-</v>
      </c>
      <c r="I92" s="131" t="e" cm="1">
        <f t="array" aca="1" ref="I92" ca="1">_xlfn.IFS(H92="-","-",ABS(H92)&lt;=$Q$16,"Yes",TRUE,"No")</f>
        <v>#NAME?</v>
      </c>
      <c r="J92" s="148" t="e">
        <f t="shared" ca="1" si="16"/>
        <v>#NAME?</v>
      </c>
      <c r="K92" s="122"/>
      <c r="L92" s="122"/>
      <c r="M92" s="122"/>
    </row>
    <row r="93" spans="1:13" x14ac:dyDescent="0.4">
      <c r="A93" s="640"/>
      <c r="B93" s="638"/>
      <c r="C93" s="363"/>
      <c r="D93" s="150">
        <f>電機廠報告與驗收規範!$J$50</f>
        <v>3.5</v>
      </c>
      <c r="E93" s="155">
        <f>電機廠報告與驗收規範!L50</f>
        <v>0.42857142857142855</v>
      </c>
      <c r="F93" s="156">
        <f>電機廠報告與驗收規範!M50</f>
        <v>30</v>
      </c>
      <c r="G93" s="132" t="str">
        <f>IF(電機廠報告與驗收規範!P50="","-",電機廠報告與驗收規範!P50)</f>
        <v>-</v>
      </c>
      <c r="H93" s="147" t="str">
        <f t="shared" si="17"/>
        <v>-</v>
      </c>
      <c r="I93" s="131" t="e" cm="1">
        <f t="array" aca="1" ref="I93" ca="1">_xlfn.IFS(H93="-","-",ABS(H93)&lt;=$Q$16,"Yes",TRUE,"No")</f>
        <v>#NAME?</v>
      </c>
      <c r="J93" s="148" t="e">
        <f t="shared" ca="1" si="16"/>
        <v>#NAME?</v>
      </c>
      <c r="K93" s="122"/>
      <c r="L93" s="122"/>
      <c r="M93" s="122"/>
    </row>
    <row r="94" spans="1:13" x14ac:dyDescent="0.4">
      <c r="A94" s="640"/>
      <c r="B94" s="638"/>
      <c r="C94" s="363"/>
      <c r="D94" s="150">
        <f>電機廠報告與驗收規範!$J$51</f>
        <v>4</v>
      </c>
      <c r="E94" s="155">
        <f>電機廠報告與驗收規範!L51</f>
        <v>0.375</v>
      </c>
      <c r="F94" s="156">
        <f>電機廠報告與驗收規範!M51</f>
        <v>26.25</v>
      </c>
      <c r="G94" s="132" t="str">
        <f>IF(電機廠報告與驗收規範!P51="","-",電機廠報告與驗收規範!P51)</f>
        <v>-</v>
      </c>
      <c r="H94" s="147" t="str">
        <f t="shared" si="17"/>
        <v>-</v>
      </c>
      <c r="I94" s="131" t="e" cm="1">
        <f t="array" aca="1" ref="I94" ca="1">_xlfn.IFS(H94="-","-",ABS(H94)&lt;=$Q$16,"Yes",TRUE,"No")</f>
        <v>#NAME?</v>
      </c>
      <c r="J94" s="148" t="e">
        <f t="shared" ca="1" si="16"/>
        <v>#NAME?</v>
      </c>
      <c r="K94" s="122"/>
      <c r="L94" s="122"/>
      <c r="M94" s="122"/>
    </row>
    <row r="95" spans="1:13" ht="17.5" thickBot="1" x14ac:dyDescent="0.45">
      <c r="A95" s="640"/>
      <c r="B95" s="638"/>
      <c r="C95" s="363"/>
      <c r="D95" s="150" t="str">
        <f>電機廠報告與驗收規範!$J$52</f>
        <v>最高轉速</v>
      </c>
      <c r="E95" s="167">
        <f>電機廠報告與驗收規範!L52</f>
        <v>0.1875</v>
      </c>
      <c r="F95" s="168">
        <f>電機廠報告與驗收規範!M52</f>
        <v>19.6875</v>
      </c>
      <c r="G95" s="141" t="str">
        <f>IF(電機廠報告與驗收規範!P52="","-",電機廠報告與驗收規範!P52)</f>
        <v>-</v>
      </c>
      <c r="H95" s="163" t="str">
        <f t="shared" si="17"/>
        <v>-</v>
      </c>
      <c r="I95" s="131" t="e" cm="1">
        <f t="array" aca="1" ref="I95" ca="1">_xlfn.IFS(H95="-","-",ABS(H95)&lt;=$Q$16,"Yes",TRUE,"No")</f>
        <v>#NAME?</v>
      </c>
      <c r="J95" s="144" t="e">
        <f t="shared" ca="1" si="16"/>
        <v>#NAME?</v>
      </c>
      <c r="K95" s="122"/>
      <c r="L95" s="122"/>
      <c r="M95" s="122"/>
    </row>
    <row r="96" spans="1:13" x14ac:dyDescent="0.4">
      <c r="A96" s="640"/>
      <c r="B96" s="638"/>
      <c r="C96" s="363"/>
      <c r="D96" s="663" t="s">
        <v>342</v>
      </c>
      <c r="E96" s="635" t="s">
        <v>326</v>
      </c>
      <c r="F96" s="635" t="s">
        <v>327</v>
      </c>
      <c r="G96" s="635" t="s">
        <v>328</v>
      </c>
      <c r="H96" s="665" t="s">
        <v>329</v>
      </c>
      <c r="I96" s="637" t="s">
        <v>295</v>
      </c>
      <c r="J96" s="637" t="s">
        <v>296</v>
      </c>
      <c r="K96" s="635" t="s">
        <v>330</v>
      </c>
      <c r="L96" s="637" t="s">
        <v>295</v>
      </c>
      <c r="M96" s="631" t="s">
        <v>296</v>
      </c>
    </row>
    <row r="97" spans="1:13" x14ac:dyDescent="0.4">
      <c r="A97" s="640"/>
      <c r="B97" s="638"/>
      <c r="C97" s="363"/>
      <c r="D97" s="664"/>
      <c r="E97" s="636"/>
      <c r="F97" s="636"/>
      <c r="G97" s="636"/>
      <c r="H97" s="650"/>
      <c r="I97" s="638"/>
      <c r="J97" s="638"/>
      <c r="K97" s="636"/>
      <c r="L97" s="638"/>
      <c r="M97" s="632"/>
    </row>
    <row r="98" spans="1:13" x14ac:dyDescent="0.4">
      <c r="A98" s="640"/>
      <c r="B98" s="638"/>
      <c r="C98" s="363"/>
      <c r="D98" s="150" t="str">
        <f>電機廠報告與驗收規範!$J$44</f>
        <v>50%</v>
      </c>
      <c r="E98" s="132">
        <f>IF(電機廠報告與驗收規範!Q44="","-",電機廠報告與驗收規範!Q44)</f>
        <v>138.6</v>
      </c>
      <c r="F98" s="132">
        <f>IF(電機廠報告與驗收規範!R44="","-",電機廠報告與驗收規範!R44)</f>
        <v>138.5</v>
      </c>
      <c r="G98" s="132">
        <f>IF(電機廠報告與驗收規範!S44="","-",電機廠報告與驗收規範!S44)</f>
        <v>138.5</v>
      </c>
      <c r="H98" s="134"/>
      <c r="I98" s="134"/>
      <c r="J98" s="134"/>
      <c r="K98" s="159">
        <f>IF(E98&lt;&gt;"-",(MAX(E98:G98)-MIN(E98:G98))/MIN(E98:G98),"-")</f>
        <v>7.2202166064977847E-4</v>
      </c>
      <c r="L98" s="131" t="e" cm="1">
        <f t="array" aca="1" ref="L98" ca="1">_xlfn.IFS(K98="-","-",K98&lt;=$Q$20,"Yes",TRUE,"No")</f>
        <v>#NAME?</v>
      </c>
      <c r="M98" s="148" t="e">
        <f t="shared" ref="M98:M106" ca="1" si="18">IF(L98="No",_xlfn.TEXTJOIN("",TRUE,"三相電壓誤差&gt;",$Q$20*100,"%"),"")</f>
        <v>#NAME?</v>
      </c>
    </row>
    <row r="99" spans="1:13" x14ac:dyDescent="0.4">
      <c r="A99" s="640"/>
      <c r="B99" s="638"/>
      <c r="C99" s="363"/>
      <c r="D99" s="150">
        <f>電機廠報告與驗收規範!$J$45</f>
        <v>1</v>
      </c>
      <c r="E99" s="132">
        <f>IF(電機廠報告與驗收規範!Q45="","-",電機廠報告與驗收規範!Q45)</f>
        <v>258.3</v>
      </c>
      <c r="F99" s="132">
        <f>IF(電機廠報告與驗收規範!R45="","-",電機廠報告與驗收規範!R45)</f>
        <v>258.3</v>
      </c>
      <c r="G99" s="132">
        <f>IF(電機廠報告與驗收規範!S45="","-",電機廠報告與驗收規範!S45)</f>
        <v>258.39999999999998</v>
      </c>
      <c r="H99" s="147">
        <f>IF(E99&lt;&gt;"-",(AVERAGE(E99:G99)-電機廠報告與驗收規範!$H$3)/電機廠報告與驗收規範!$H$3,"-")</f>
        <v>-6.4102564102564829E-3</v>
      </c>
      <c r="I99" s="131" t="e" cm="1">
        <f t="array" aca="1" ref="I99" ca="1">_xlfn.IFS(H99="-","-",ABS(H99)&lt;=$Q$19,"Yes",TRUE,"No")</f>
        <v>#NAME?</v>
      </c>
      <c r="J99" s="131" t="e">
        <f t="shared" ref="J99:J106" ca="1" si="19">IF(I99="No",_xlfn.TEXTJOIN("",TRUE,"平均電壓誤差&gt;",$Q$19*100,"%"),"")</f>
        <v>#NAME?</v>
      </c>
      <c r="K99" s="159">
        <f t="shared" ref="K99:K106" si="20">IF(E99&lt;&gt;"-",(MAX(E99:G99)-MIN(E99:G99))/MIN(E99:G99),"-")</f>
        <v>3.8714672861001119E-4</v>
      </c>
      <c r="L99" s="131" t="e" cm="1">
        <f t="array" aca="1" ref="L99" ca="1">_xlfn.IFS(K99="-","-",K99&lt;=$Q$20,"Yes",TRUE,"No")</f>
        <v>#NAME?</v>
      </c>
      <c r="M99" s="148" t="e">
        <f t="shared" ca="1" si="18"/>
        <v>#NAME?</v>
      </c>
    </row>
    <row r="100" spans="1:13" x14ac:dyDescent="0.4">
      <c r="A100" s="640"/>
      <c r="B100" s="638"/>
      <c r="C100" s="363"/>
      <c r="D100" s="150">
        <f>電機廠報告與驗收規範!$J$46</f>
        <v>1.5</v>
      </c>
      <c r="E100" s="132" t="str">
        <f>IF(電機廠報告與驗收規範!Q46="","-",電機廠報告與驗收規範!Q46)</f>
        <v>-</v>
      </c>
      <c r="F100" s="132" t="str">
        <f>IF(電機廠報告與驗收規範!R46="","-",電機廠報告與驗收規範!R46)</f>
        <v>-</v>
      </c>
      <c r="G100" s="132" t="str">
        <f>IF(電機廠報告與驗收規範!S46="","-",電機廠報告與驗收規範!S46)</f>
        <v>-</v>
      </c>
      <c r="H100" s="147" t="str">
        <f>IF(E100&lt;&gt;"-",(AVERAGE(E100:G100)-電機廠報告與驗收規範!$H$3)/電機廠報告與驗收規範!$H$3,"-")</f>
        <v>-</v>
      </c>
      <c r="I100" s="131" t="e" cm="1">
        <f t="array" aca="1" ref="I100" ca="1">_xlfn.IFS(H100="-","-",ABS(H100)&lt;=$Q$19,"Yes",TRUE,"No")</f>
        <v>#NAME?</v>
      </c>
      <c r="J100" s="131" t="e">
        <f t="shared" ca="1" si="19"/>
        <v>#NAME?</v>
      </c>
      <c r="K100" s="159" t="str">
        <f t="shared" si="20"/>
        <v>-</v>
      </c>
      <c r="L100" s="131" t="e" cm="1">
        <f t="array" aca="1" ref="L100" ca="1">_xlfn.IFS(K100="-","-",K100&lt;=$Q$20,"Yes",TRUE,"No")</f>
        <v>#NAME?</v>
      </c>
      <c r="M100" s="148" t="e">
        <f t="shared" ca="1" si="18"/>
        <v>#NAME?</v>
      </c>
    </row>
    <row r="101" spans="1:13" x14ac:dyDescent="0.4">
      <c r="A101" s="640"/>
      <c r="B101" s="638"/>
      <c r="C101" s="363"/>
      <c r="D101" s="150">
        <f>電機廠報告與驗收規範!$J$47</f>
        <v>2</v>
      </c>
      <c r="E101" s="132" t="str">
        <f>IF(電機廠報告與驗收規範!Q47="","-",電機廠報告與驗收規範!Q47)</f>
        <v>-</v>
      </c>
      <c r="F101" s="132" t="str">
        <f>IF(電機廠報告與驗收規範!R47="","-",電機廠報告與驗收規範!R47)</f>
        <v>-</v>
      </c>
      <c r="G101" s="132" t="str">
        <f>IF(電機廠報告與驗收規範!S47="","-",電機廠報告與驗收規範!S47)</f>
        <v>-</v>
      </c>
      <c r="H101" s="147" t="str">
        <f>IF(E101&lt;&gt;"-",(AVERAGE(E101:G101)-電機廠報告與驗收規範!$H$3)/電機廠報告與驗收規範!$H$3,"-")</f>
        <v>-</v>
      </c>
      <c r="I101" s="131" t="e" cm="1">
        <f t="array" aca="1" ref="I101" ca="1">_xlfn.IFS(H101="-","-",ABS(H101)&lt;=$Q$19,"Yes",TRUE,"No")</f>
        <v>#NAME?</v>
      </c>
      <c r="J101" s="131" t="e">
        <f t="shared" ca="1" si="19"/>
        <v>#NAME?</v>
      </c>
      <c r="K101" s="159" t="str">
        <f t="shared" si="20"/>
        <v>-</v>
      </c>
      <c r="L101" s="131" t="e" cm="1">
        <f t="array" aca="1" ref="L101" ca="1">_xlfn.IFS(K101="-","-",K101&lt;=$Q$20,"Yes",TRUE,"No")</f>
        <v>#NAME?</v>
      </c>
      <c r="M101" s="148" t="e">
        <f t="shared" ca="1" si="18"/>
        <v>#NAME?</v>
      </c>
    </row>
    <row r="102" spans="1:13" x14ac:dyDescent="0.4">
      <c r="A102" s="640"/>
      <c r="B102" s="638"/>
      <c r="C102" s="363"/>
      <c r="D102" s="150">
        <f>電機廠報告與驗收規範!$J$48</f>
        <v>2.5</v>
      </c>
      <c r="E102" s="132" t="str">
        <f>IF(電機廠報告與驗收規範!Q48="","-",電機廠報告與驗收規範!Q48)</f>
        <v>-</v>
      </c>
      <c r="F102" s="132" t="str">
        <f>IF(電機廠報告與驗收規範!R48="","-",電機廠報告與驗收規範!R48)</f>
        <v>-</v>
      </c>
      <c r="G102" s="132" t="str">
        <f>IF(電機廠報告與驗收規範!S48="","-",電機廠報告與驗收規範!S48)</f>
        <v>-</v>
      </c>
      <c r="H102" s="147" t="str">
        <f>IF(E102&lt;&gt;"-",(AVERAGE(E102:G102)-電機廠報告與驗收規範!$H$3)/電機廠報告與驗收規範!$H$3,"-")</f>
        <v>-</v>
      </c>
      <c r="I102" s="131" t="e" cm="1">
        <f t="array" aca="1" ref="I102" ca="1">_xlfn.IFS(H102="-","-",ABS(H102)&lt;=$Q$19,"Yes",TRUE,"No")</f>
        <v>#NAME?</v>
      </c>
      <c r="J102" s="131" t="e">
        <f t="shared" ca="1" si="19"/>
        <v>#NAME?</v>
      </c>
      <c r="K102" s="159" t="str">
        <f t="shared" si="20"/>
        <v>-</v>
      </c>
      <c r="L102" s="131" t="e" cm="1">
        <f t="array" aca="1" ref="L102" ca="1">_xlfn.IFS(K102="-","-",K102&lt;=$Q$20,"Yes",TRUE,"No")</f>
        <v>#NAME?</v>
      </c>
      <c r="M102" s="148" t="e">
        <f t="shared" ca="1" si="18"/>
        <v>#NAME?</v>
      </c>
    </row>
    <row r="103" spans="1:13" x14ac:dyDescent="0.4">
      <c r="A103" s="640"/>
      <c r="B103" s="638"/>
      <c r="C103" s="363"/>
      <c r="D103" s="150">
        <f>電機廠報告與驗收規範!$J$49</f>
        <v>3</v>
      </c>
      <c r="E103" s="132" t="str">
        <f>IF(電機廠報告與驗收規範!Q49="","-",電機廠報告與驗收規範!Q49)</f>
        <v>-</v>
      </c>
      <c r="F103" s="132" t="str">
        <f>IF(電機廠報告與驗收規範!R49="","-",電機廠報告與驗收規範!R49)</f>
        <v>-</v>
      </c>
      <c r="G103" s="132" t="str">
        <f>IF(電機廠報告與驗收規範!S49="","-",電機廠報告與驗收規範!S49)</f>
        <v>-</v>
      </c>
      <c r="H103" s="147" t="str">
        <f>IF(E103&lt;&gt;"-",(AVERAGE(E103:G103)-電機廠報告與驗收規範!$H$3)/電機廠報告與驗收規範!$H$3,"-")</f>
        <v>-</v>
      </c>
      <c r="I103" s="131" t="e" cm="1">
        <f t="array" aca="1" ref="I103" ca="1">_xlfn.IFS(H103="-","-",ABS(H103)&lt;=$Q$19,"Yes",TRUE,"No")</f>
        <v>#NAME?</v>
      </c>
      <c r="J103" s="131" t="e">
        <f t="shared" ca="1" si="19"/>
        <v>#NAME?</v>
      </c>
      <c r="K103" s="159" t="str">
        <f t="shared" si="20"/>
        <v>-</v>
      </c>
      <c r="L103" s="131" t="e" cm="1">
        <f t="array" aca="1" ref="L103" ca="1">_xlfn.IFS(K103="-","-",K103&lt;=$Q$20,"Yes",TRUE,"No")</f>
        <v>#NAME?</v>
      </c>
      <c r="M103" s="148" t="e">
        <f t="shared" ca="1" si="18"/>
        <v>#NAME?</v>
      </c>
    </row>
    <row r="104" spans="1:13" x14ac:dyDescent="0.4">
      <c r="A104" s="640"/>
      <c r="B104" s="638"/>
      <c r="C104" s="363"/>
      <c r="D104" s="150">
        <f>電機廠報告與驗收規範!$J$50</f>
        <v>3.5</v>
      </c>
      <c r="E104" s="132" t="str">
        <f>IF(電機廠報告與驗收規範!Q50="","-",電機廠報告與驗收規範!Q50)</f>
        <v>-</v>
      </c>
      <c r="F104" s="132" t="str">
        <f>IF(電機廠報告與驗收規範!R50="","-",電機廠報告與驗收規範!R50)</f>
        <v>-</v>
      </c>
      <c r="G104" s="132" t="str">
        <f>IF(電機廠報告與驗收規範!S50="","-",電機廠報告與驗收規範!S50)</f>
        <v>-</v>
      </c>
      <c r="H104" s="147" t="str">
        <f>IF(E104&lt;&gt;"-",(AVERAGE(E104:G104)-電機廠報告與驗收規範!$H$3)/電機廠報告與驗收規範!$H$3,"-")</f>
        <v>-</v>
      </c>
      <c r="I104" s="131" t="e" cm="1">
        <f t="array" aca="1" ref="I104" ca="1">_xlfn.IFS(H104="-","-",ABS(H104)&lt;=$Q$19,"Yes",TRUE,"No")</f>
        <v>#NAME?</v>
      </c>
      <c r="J104" s="131" t="e">
        <f t="shared" ca="1" si="19"/>
        <v>#NAME?</v>
      </c>
      <c r="K104" s="159" t="str">
        <f t="shared" si="20"/>
        <v>-</v>
      </c>
      <c r="L104" s="131" t="e" cm="1">
        <f t="array" aca="1" ref="L104" ca="1">_xlfn.IFS(K104="-","-",K104&lt;=$Q$20,"Yes",TRUE,"No")</f>
        <v>#NAME?</v>
      </c>
      <c r="M104" s="148" t="e">
        <f t="shared" ca="1" si="18"/>
        <v>#NAME?</v>
      </c>
    </row>
    <row r="105" spans="1:13" x14ac:dyDescent="0.4">
      <c r="A105" s="640"/>
      <c r="B105" s="638"/>
      <c r="C105" s="363"/>
      <c r="D105" s="150">
        <f>電機廠報告與驗收規範!$J$51</f>
        <v>4</v>
      </c>
      <c r="E105" s="132" t="str">
        <f>IF(電機廠報告與驗收規範!Q51="","-",電機廠報告與驗收規範!Q51)</f>
        <v>-</v>
      </c>
      <c r="F105" s="132" t="str">
        <f>IF(電機廠報告與驗收規範!R51="","-",電機廠報告與驗收規範!R51)</f>
        <v>-</v>
      </c>
      <c r="G105" s="132" t="str">
        <f>IF(電機廠報告與驗收規範!S51="","-",電機廠報告與驗收規範!S51)</f>
        <v>-</v>
      </c>
      <c r="H105" s="147" t="str">
        <f>IF(E105&lt;&gt;"-",(AVERAGE(E105:G105)-電機廠報告與驗收規範!$H$3)/電機廠報告與驗收規範!$H$3,"-")</f>
        <v>-</v>
      </c>
      <c r="I105" s="131" t="e" cm="1">
        <f t="array" aca="1" ref="I105" ca="1">_xlfn.IFS(H105="-","-",ABS(H105)&lt;=$Q$19,"Yes",TRUE,"No")</f>
        <v>#NAME?</v>
      </c>
      <c r="J105" s="131" t="e">
        <f t="shared" ca="1" si="19"/>
        <v>#NAME?</v>
      </c>
      <c r="K105" s="159" t="str">
        <f t="shared" si="20"/>
        <v>-</v>
      </c>
      <c r="L105" s="131" t="e" cm="1">
        <f t="array" aca="1" ref="L105" ca="1">_xlfn.IFS(K105="-","-",K105&lt;=$Q$20,"Yes",TRUE,"No")</f>
        <v>#NAME?</v>
      </c>
      <c r="M105" s="148" t="e">
        <f t="shared" ca="1" si="18"/>
        <v>#NAME?</v>
      </c>
    </row>
    <row r="106" spans="1:13" ht="17.5" thickBot="1" x14ac:dyDescent="0.45">
      <c r="A106" s="640"/>
      <c r="B106" s="638"/>
      <c r="C106" s="363"/>
      <c r="D106" s="150" t="str">
        <f>電機廠報告與驗收規範!$J$52</f>
        <v>最高轉速</v>
      </c>
      <c r="E106" s="141" t="str">
        <f>IF(電機廠報告與驗收規範!Q52="","-",電機廠報告與驗收規範!Q52)</f>
        <v>-</v>
      </c>
      <c r="F106" s="141" t="str">
        <f>IF(電機廠報告與驗收規範!R52="","-",電機廠報告與驗收規範!R52)</f>
        <v>-</v>
      </c>
      <c r="G106" s="141" t="str">
        <f>IF(電機廠報告與驗收規範!S52="","-",電機廠報告與驗收規範!S52)</f>
        <v>-</v>
      </c>
      <c r="H106" s="163" t="str">
        <f>IF(E106&lt;&gt;"-",(AVERAGE(E106:G106)-電機廠報告與驗收規範!$H$3)/電機廠報告與驗收規範!$H$3,"-")</f>
        <v>-</v>
      </c>
      <c r="I106" s="140" t="e" cm="1">
        <f t="array" aca="1" ref="I106" ca="1">_xlfn.IFS(H106="-","-",ABS(H106)&lt;=$Q$19,"Yes",TRUE,"No")</f>
        <v>#NAME?</v>
      </c>
      <c r="J106" s="140" t="e">
        <f t="shared" ca="1" si="19"/>
        <v>#NAME?</v>
      </c>
      <c r="K106" s="164" t="str">
        <f t="shared" si="20"/>
        <v>-</v>
      </c>
      <c r="L106" s="140" t="e" cm="1">
        <f t="array" aca="1" ref="L106" ca="1">_xlfn.IFS(K106="-","-",K106&lt;=$Q$20,"Yes",TRUE,"No")</f>
        <v>#NAME?</v>
      </c>
      <c r="M106" s="144" t="e">
        <f t="shared" ca="1" si="18"/>
        <v>#NAME?</v>
      </c>
    </row>
    <row r="107" spans="1:13" x14ac:dyDescent="0.4">
      <c r="A107" s="640"/>
      <c r="B107" s="638"/>
      <c r="C107" s="363"/>
      <c r="D107" s="633" t="s">
        <v>342</v>
      </c>
      <c r="E107" s="635" t="s">
        <v>331</v>
      </c>
      <c r="F107" s="635" t="s">
        <v>332</v>
      </c>
      <c r="G107" s="635" t="s">
        <v>333</v>
      </c>
      <c r="H107" s="635" t="s">
        <v>335</v>
      </c>
      <c r="I107" s="637" t="s">
        <v>295</v>
      </c>
      <c r="J107" s="631" t="s">
        <v>296</v>
      </c>
      <c r="K107" s="122"/>
      <c r="L107" s="122"/>
      <c r="M107" s="122"/>
    </row>
    <row r="108" spans="1:13" ht="17.5" thickBot="1" x14ac:dyDescent="0.45">
      <c r="A108" s="640"/>
      <c r="B108" s="638"/>
      <c r="C108" s="363"/>
      <c r="D108" s="652"/>
      <c r="E108" s="653"/>
      <c r="F108" s="653"/>
      <c r="G108" s="653"/>
      <c r="H108" s="653"/>
      <c r="I108" s="654"/>
      <c r="J108" s="655"/>
      <c r="K108" s="122"/>
      <c r="L108" s="122"/>
      <c r="M108" s="122"/>
    </row>
    <row r="109" spans="1:13" x14ac:dyDescent="0.4">
      <c r="A109" s="640"/>
      <c r="B109" s="638"/>
      <c r="C109" s="363"/>
      <c r="D109" s="184" t="str">
        <f>電機廠報告與驗收規範!$J$44</f>
        <v>50%</v>
      </c>
      <c r="E109" s="185">
        <f>IF(電機廠報告與驗收規範!T44="","-",電機廠報告與驗收規範!T44)</f>
        <v>48.4</v>
      </c>
      <c r="F109" s="185">
        <f>IF(電機廠報告與驗收規範!U44="","-",電機廠報告與驗收規範!U44)</f>
        <v>48.2</v>
      </c>
      <c r="G109" s="185">
        <f>IF(電機廠報告與驗收規範!V44="","-",電機廠報告與驗收規範!V44)</f>
        <v>48.3</v>
      </c>
      <c r="H109" s="186">
        <f>IF(E109&lt;&gt;"-",(MAX(E109:G109)-MIN(E109:G109))/MIN(E109:G109),"-")</f>
        <v>4.1493775933609074E-3</v>
      </c>
      <c r="I109" s="187" t="e" cm="1">
        <f t="array" aca="1" ref="I109" ca="1">_xlfn.IFS(H109="-","-",H109&lt;=$Q$21,"Yes",TRUE,"No")</f>
        <v>#NAME?</v>
      </c>
      <c r="J109" s="188" t="e">
        <f t="shared" ref="J109:J117" ca="1" si="21">IF(I109="No",_xlfn.TEXTJOIN("",TRUE,"三相電流誤差&gt;",$Q$21*100,"%"),"")</f>
        <v>#NAME?</v>
      </c>
      <c r="K109" s="122"/>
      <c r="L109" s="122"/>
      <c r="M109" s="122"/>
    </row>
    <row r="110" spans="1:13" x14ac:dyDescent="0.4">
      <c r="A110" s="640"/>
      <c r="B110" s="638"/>
      <c r="C110" s="363"/>
      <c r="D110" s="161">
        <f>電機廠報告與驗收規範!$J$45</f>
        <v>1</v>
      </c>
      <c r="E110" s="169">
        <f>IF(電機廠報告與驗收規範!T45="","-",電機廠報告與驗收規範!T45)</f>
        <v>48.3</v>
      </c>
      <c r="F110" s="169">
        <f>IF(電機廠報告與驗收規範!U45="","-",電機廠報告與驗收規範!U45)</f>
        <v>48.1</v>
      </c>
      <c r="G110" s="169">
        <f>IF(電機廠報告與驗收規範!V45="","-",電機廠報告與驗收規範!V45)</f>
        <v>48.2</v>
      </c>
      <c r="H110" s="159">
        <f t="shared" ref="H110:H117" si="22">IF(E110&lt;&gt;"-",(MAX(E110:G110)-MIN(E110:G110))/MIN(E110:G110),"-")</f>
        <v>4.1580041580040689E-3</v>
      </c>
      <c r="I110" s="131" t="e" cm="1">
        <f t="array" aca="1" ref="I110" ca="1">_xlfn.IFS(H110="-","-",H110&lt;=$Q$21,"Yes",TRUE,"No")</f>
        <v>#NAME?</v>
      </c>
      <c r="J110" s="148" t="e">
        <f t="shared" ca="1" si="21"/>
        <v>#NAME?</v>
      </c>
      <c r="K110" s="122"/>
      <c r="L110" s="122"/>
      <c r="M110" s="122"/>
    </row>
    <row r="111" spans="1:13" x14ac:dyDescent="0.4">
      <c r="A111" s="640"/>
      <c r="B111" s="638"/>
      <c r="C111" s="363"/>
      <c r="D111" s="161">
        <f>電機廠報告與驗收規範!$J$46</f>
        <v>1.5</v>
      </c>
      <c r="E111" s="169" t="str">
        <f>IF(電機廠報告與驗收規範!T46="","-",電機廠報告與驗收規範!T46)</f>
        <v>-</v>
      </c>
      <c r="F111" s="169" t="str">
        <f>IF(電機廠報告與驗收規範!U46="","-",電機廠報告與驗收規範!U46)</f>
        <v>-</v>
      </c>
      <c r="G111" s="169" t="str">
        <f>IF(電機廠報告與驗收規範!V46="","-",電機廠報告與驗收規範!V46)</f>
        <v>-</v>
      </c>
      <c r="H111" s="159" t="str">
        <f t="shared" si="22"/>
        <v>-</v>
      </c>
      <c r="I111" s="131" t="e" cm="1">
        <f t="array" aca="1" ref="I111" ca="1">_xlfn.IFS(H111="-","-",H111&lt;=$Q$21,"Yes",TRUE,"No")</f>
        <v>#NAME?</v>
      </c>
      <c r="J111" s="148" t="e">
        <f t="shared" ca="1" si="21"/>
        <v>#NAME?</v>
      </c>
      <c r="K111" s="122"/>
      <c r="L111" s="122"/>
      <c r="M111" s="122"/>
    </row>
    <row r="112" spans="1:13" x14ac:dyDescent="0.4">
      <c r="A112" s="640"/>
      <c r="B112" s="638"/>
      <c r="C112" s="363"/>
      <c r="D112" s="161">
        <f>電機廠報告與驗收規範!$J$47</f>
        <v>2</v>
      </c>
      <c r="E112" s="169" t="str">
        <f>IF(電機廠報告與驗收規範!T47="","-",電機廠報告與驗收規範!T47)</f>
        <v>-</v>
      </c>
      <c r="F112" s="169" t="str">
        <f>IF(電機廠報告與驗收規範!U47="","-",電機廠報告與驗收規範!U47)</f>
        <v>-</v>
      </c>
      <c r="G112" s="169" t="str">
        <f>IF(電機廠報告與驗收規範!V47="","-",電機廠報告與驗收規範!V47)</f>
        <v>-</v>
      </c>
      <c r="H112" s="159" t="str">
        <f t="shared" si="22"/>
        <v>-</v>
      </c>
      <c r="I112" s="131" t="e" cm="1">
        <f t="array" aca="1" ref="I112" ca="1">_xlfn.IFS(H112="-","-",H112&lt;=$Q$21,"Yes",TRUE,"No")</f>
        <v>#NAME?</v>
      </c>
      <c r="J112" s="148" t="e">
        <f t="shared" ca="1" si="21"/>
        <v>#NAME?</v>
      </c>
      <c r="K112" s="122"/>
      <c r="L112" s="122"/>
      <c r="M112" s="122"/>
    </row>
    <row r="113" spans="1:15" x14ac:dyDescent="0.4">
      <c r="A113" s="640"/>
      <c r="B113" s="638"/>
      <c r="C113" s="363"/>
      <c r="D113" s="161">
        <f>電機廠報告與驗收規範!$J$48</f>
        <v>2.5</v>
      </c>
      <c r="E113" s="169" t="str">
        <f>IF(電機廠報告與驗收規範!T48="","-",電機廠報告與驗收規範!T48)</f>
        <v>-</v>
      </c>
      <c r="F113" s="169" t="str">
        <f>IF(電機廠報告與驗收規範!U48="","-",電機廠報告與驗收規範!U48)</f>
        <v>-</v>
      </c>
      <c r="G113" s="169" t="str">
        <f>IF(電機廠報告與驗收規範!V48="","-",電機廠報告與驗收規範!V48)</f>
        <v>-</v>
      </c>
      <c r="H113" s="159" t="str">
        <f t="shared" si="22"/>
        <v>-</v>
      </c>
      <c r="I113" s="131" t="e" cm="1">
        <f t="array" aca="1" ref="I113" ca="1">_xlfn.IFS(H113="-","-",H113&lt;=$Q$21,"Yes",TRUE,"No")</f>
        <v>#NAME?</v>
      </c>
      <c r="J113" s="148" t="e">
        <f t="shared" ca="1" si="21"/>
        <v>#NAME?</v>
      </c>
      <c r="K113" s="122"/>
      <c r="L113" s="122"/>
      <c r="M113" s="122"/>
    </row>
    <row r="114" spans="1:15" x14ac:dyDescent="0.4">
      <c r="A114" s="640"/>
      <c r="B114" s="638"/>
      <c r="C114" s="363"/>
      <c r="D114" s="161">
        <f>電機廠報告與驗收規範!$J$49</f>
        <v>3</v>
      </c>
      <c r="E114" s="169" t="str">
        <f>IF(電機廠報告與驗收規範!T49="","-",電機廠報告與驗收規範!T49)</f>
        <v>-</v>
      </c>
      <c r="F114" s="169" t="str">
        <f>IF(電機廠報告與驗收規範!U49="","-",電機廠報告與驗收規範!U49)</f>
        <v>-</v>
      </c>
      <c r="G114" s="169" t="str">
        <f>IF(電機廠報告與驗收規範!V49="","-",電機廠報告與驗收規範!V49)</f>
        <v>-</v>
      </c>
      <c r="H114" s="159" t="str">
        <f t="shared" si="22"/>
        <v>-</v>
      </c>
      <c r="I114" s="131" t="e" cm="1">
        <f t="array" aca="1" ref="I114" ca="1">_xlfn.IFS(H114="-","-",H114&lt;=$Q$21,"Yes",TRUE,"No")</f>
        <v>#NAME?</v>
      </c>
      <c r="J114" s="148" t="e">
        <f t="shared" ca="1" si="21"/>
        <v>#NAME?</v>
      </c>
      <c r="K114" s="122"/>
      <c r="L114" s="122"/>
      <c r="M114" s="122"/>
    </row>
    <row r="115" spans="1:15" x14ac:dyDescent="0.4">
      <c r="A115" s="640"/>
      <c r="B115" s="638"/>
      <c r="C115" s="363"/>
      <c r="D115" s="161">
        <f>電機廠報告與驗收規範!$J$50</f>
        <v>3.5</v>
      </c>
      <c r="E115" s="169" t="str">
        <f>IF(電機廠報告與驗收規範!T50="","-",電機廠報告與驗收規範!T50)</f>
        <v>-</v>
      </c>
      <c r="F115" s="169" t="str">
        <f>IF(電機廠報告與驗收規範!U50="","-",電機廠報告與驗收規範!U50)</f>
        <v>-</v>
      </c>
      <c r="G115" s="169" t="str">
        <f>IF(電機廠報告與驗收規範!V50="","-",電機廠報告與驗收規範!V50)</f>
        <v>-</v>
      </c>
      <c r="H115" s="159" t="str">
        <f t="shared" si="22"/>
        <v>-</v>
      </c>
      <c r="I115" s="131" t="e" cm="1">
        <f t="array" aca="1" ref="I115" ca="1">_xlfn.IFS(H115="-","-",H115&lt;=$Q$21,"Yes",TRUE,"No")</f>
        <v>#NAME?</v>
      </c>
      <c r="J115" s="148" t="e">
        <f t="shared" ca="1" si="21"/>
        <v>#NAME?</v>
      </c>
      <c r="K115" s="122"/>
      <c r="L115" s="122"/>
      <c r="M115" s="122"/>
    </row>
    <row r="116" spans="1:15" x14ac:dyDescent="0.4">
      <c r="A116" s="640"/>
      <c r="B116" s="638"/>
      <c r="C116" s="363"/>
      <c r="D116" s="161">
        <f>電機廠報告與驗收規範!$J$51</f>
        <v>4</v>
      </c>
      <c r="E116" s="169" t="str">
        <f>IF(電機廠報告與驗收規範!T51="","-",電機廠報告與驗收規範!T51)</f>
        <v>-</v>
      </c>
      <c r="F116" s="169" t="str">
        <f>IF(電機廠報告與驗收規範!U51="","-",電機廠報告與驗收規範!U51)</f>
        <v>-</v>
      </c>
      <c r="G116" s="169" t="str">
        <f>IF(電機廠報告與驗收規範!V51="","-",電機廠報告與驗收規範!V51)</f>
        <v>-</v>
      </c>
      <c r="H116" s="159" t="str">
        <f t="shared" si="22"/>
        <v>-</v>
      </c>
      <c r="I116" s="131" t="e" cm="1">
        <f t="array" aca="1" ref="I116" ca="1">_xlfn.IFS(H116="-","-",H116&lt;=$Q$21,"Yes",TRUE,"No")</f>
        <v>#NAME?</v>
      </c>
      <c r="J116" s="148" t="e">
        <f t="shared" ca="1" si="21"/>
        <v>#NAME?</v>
      </c>
      <c r="K116" s="122"/>
      <c r="L116" s="122"/>
      <c r="M116" s="122"/>
    </row>
    <row r="117" spans="1:15" ht="17.5" thickBot="1" x14ac:dyDescent="0.45">
      <c r="A117" s="640"/>
      <c r="B117" s="638"/>
      <c r="C117" s="363"/>
      <c r="D117" s="162" t="str">
        <f>電機廠報告與驗收規範!$J$52</f>
        <v>最高轉速</v>
      </c>
      <c r="E117" s="170" t="str">
        <f>IF(電機廠報告與驗收規範!T52="","-",電機廠報告與驗收規範!T52)</f>
        <v>-</v>
      </c>
      <c r="F117" s="170" t="str">
        <f>IF(電機廠報告與驗收規範!U52="","-",電機廠報告與驗收規範!U52)</f>
        <v>-</v>
      </c>
      <c r="G117" s="170" t="str">
        <f>IF(電機廠報告與驗收規範!V52="","-",電機廠報告與驗收規範!V52)</f>
        <v>-</v>
      </c>
      <c r="H117" s="164" t="str">
        <f t="shared" si="22"/>
        <v>-</v>
      </c>
      <c r="I117" s="140" t="e" cm="1">
        <f t="array" aca="1" ref="I117" ca="1">_xlfn.IFS(H117="-","-",H117&lt;=$Q$21,"Yes",TRUE,"No")</f>
        <v>#NAME?</v>
      </c>
      <c r="J117" s="144" t="e">
        <f t="shared" ca="1" si="21"/>
        <v>#NAME?</v>
      </c>
      <c r="K117" s="122"/>
      <c r="L117" s="122"/>
      <c r="M117" s="122"/>
    </row>
    <row r="118" spans="1:15" x14ac:dyDescent="0.4">
      <c r="A118" s="640"/>
      <c r="B118" s="638"/>
      <c r="C118" s="363"/>
      <c r="D118" s="662" t="s">
        <v>342</v>
      </c>
      <c r="E118" s="650" t="s">
        <v>336</v>
      </c>
      <c r="F118" s="650" t="s">
        <v>57</v>
      </c>
      <c r="G118" s="650" t="s">
        <v>337</v>
      </c>
      <c r="H118" s="625" t="s">
        <v>295</v>
      </c>
      <c r="I118" s="651" t="s">
        <v>296</v>
      </c>
      <c r="J118" s="122"/>
      <c r="K118" s="122"/>
      <c r="L118" s="122"/>
      <c r="M118" s="122"/>
    </row>
    <row r="119" spans="1:15" x14ac:dyDescent="0.4">
      <c r="A119" s="640"/>
      <c r="B119" s="638"/>
      <c r="C119" s="363"/>
      <c r="D119" s="649"/>
      <c r="E119" s="636"/>
      <c r="F119" s="636"/>
      <c r="G119" s="636"/>
      <c r="H119" s="638"/>
      <c r="I119" s="632"/>
      <c r="J119" s="122"/>
      <c r="K119" s="122"/>
      <c r="L119" s="122"/>
      <c r="M119" s="122"/>
    </row>
    <row r="120" spans="1:15" x14ac:dyDescent="0.4">
      <c r="A120" s="640"/>
      <c r="B120" s="638"/>
      <c r="C120" s="363"/>
      <c r="D120" s="150" t="str">
        <f>電機廠報告與驗收規範!$J$44</f>
        <v>50%</v>
      </c>
      <c r="E120" s="132">
        <f>IF(電機廠報告與驗收規範!W44="","-",電機廠報告與驗收規範!W44)</f>
        <v>10.65</v>
      </c>
      <c r="F120" s="132">
        <f>IF(電機廠報告與驗收規範!Y44="","-",電機廠報告與驗收規範!Y44)</f>
        <v>0.91</v>
      </c>
      <c r="G120" s="147">
        <f>IF(E98&lt;&gt;"-",(3^0.5*AVERAGE(E98:G98)*AVERAGE(E109:G109)*F120-E120*1000)/(E120*1000),"-")</f>
        <v>-9.7295338750201747E-3</v>
      </c>
      <c r="H120" s="131" t="e" cm="1">
        <f t="array" aca="1" ref="H120" ca="1">_xlfn.IFS(G120="-","-",ABS(G120)&lt;=$Q$17,"Yes",TRUE,"No")</f>
        <v>#NAME?</v>
      </c>
      <c r="I120" s="148" t="e">
        <f t="shared" ref="I120:I128" ca="1" si="23">IF(H120="No",_xlfn.TEXTJOIN("",TRUE,"輸入功率誤差&gt;",$Q$17*100,"%"),"")</f>
        <v>#NAME?</v>
      </c>
      <c r="J120" s="122"/>
      <c r="K120" s="122"/>
      <c r="L120" s="122"/>
      <c r="M120" s="122"/>
    </row>
    <row r="121" spans="1:15" ht="16.149999999999999" customHeight="1" x14ac:dyDescent="0.4">
      <c r="A121" s="640"/>
      <c r="B121" s="638"/>
      <c r="C121" s="363"/>
      <c r="D121" s="150">
        <f>電機廠報告與驗收規範!$J$45</f>
        <v>1</v>
      </c>
      <c r="E121" s="132">
        <f>IF(電機廠報告與驗收規範!W45="","-",電機廠報告與驗收規範!W45)</f>
        <v>19.510000000000002</v>
      </c>
      <c r="F121" s="132">
        <f>IF(電機廠報告與驗收規範!Y45="","-",電機廠報告與驗收規範!Y45)</f>
        <v>0.91</v>
      </c>
      <c r="G121" s="147">
        <f t="shared" ref="G121:G128" si="24">IF(E99&lt;&gt;"-",(3^0.5*AVERAGE(E99:G99)*AVERAGE(E110:G110)*F121-E121*1000)/(E121*1000),"-")</f>
        <v>5.9403674052490307E-3</v>
      </c>
      <c r="H121" s="131" t="e" cm="1">
        <f t="array" aca="1" ref="H121" ca="1">_xlfn.IFS(G121="-","-",ABS(G121)&lt;=$Q$17,"Yes",TRUE,"No")</f>
        <v>#NAME?</v>
      </c>
      <c r="I121" s="148" t="e">
        <f t="shared" ca="1" si="23"/>
        <v>#NAME?</v>
      </c>
      <c r="J121" s="122"/>
      <c r="K121" s="122"/>
      <c r="L121" s="122"/>
      <c r="M121" s="171"/>
      <c r="N121" s="172"/>
      <c r="O121" s="172"/>
    </row>
    <row r="122" spans="1:15" x14ac:dyDescent="0.4">
      <c r="A122" s="640"/>
      <c r="B122" s="638"/>
      <c r="C122" s="363"/>
      <c r="D122" s="150">
        <f>電機廠報告與驗收規範!$J$46</f>
        <v>1.5</v>
      </c>
      <c r="E122" s="132" t="str">
        <f>IF(電機廠報告與驗收規範!W46="","-",電機廠報告與驗收規範!W46)</f>
        <v>-</v>
      </c>
      <c r="F122" s="132" t="str">
        <f>IF(電機廠報告與驗收規範!Y46="","-",電機廠報告與驗收規範!Y46)</f>
        <v>-</v>
      </c>
      <c r="G122" s="147" t="str">
        <f t="shared" si="24"/>
        <v>-</v>
      </c>
      <c r="H122" s="131" t="e" cm="1">
        <f t="array" aca="1" ref="H122" ca="1">_xlfn.IFS(G122="-","-",ABS(G122)&lt;=$Q$17,"Yes",TRUE,"No")</f>
        <v>#NAME?</v>
      </c>
      <c r="I122" s="148" t="e">
        <f t="shared" ca="1" si="23"/>
        <v>#NAME?</v>
      </c>
      <c r="J122" s="122"/>
      <c r="K122" s="122"/>
      <c r="L122" s="171"/>
      <c r="M122" s="171"/>
      <c r="N122" s="172"/>
      <c r="O122" s="172"/>
    </row>
    <row r="123" spans="1:15" x14ac:dyDescent="0.4">
      <c r="A123" s="640"/>
      <c r="B123" s="638"/>
      <c r="C123" s="363"/>
      <c r="D123" s="150">
        <f>電機廠報告與驗收規範!$J$47</f>
        <v>2</v>
      </c>
      <c r="E123" s="132" t="str">
        <f>IF(電機廠報告與驗收規範!W47="","-",電機廠報告與驗收規範!W47)</f>
        <v>-</v>
      </c>
      <c r="F123" s="132" t="str">
        <f>IF(電機廠報告與驗收規範!Y47="","-",電機廠報告與驗收規範!Y47)</f>
        <v>-</v>
      </c>
      <c r="G123" s="147" t="str">
        <f t="shared" si="24"/>
        <v>-</v>
      </c>
      <c r="H123" s="131" t="e" cm="1">
        <f t="array" aca="1" ref="H123" ca="1">_xlfn.IFS(G123="-","-",ABS(G123)&lt;=$Q$17,"Yes",TRUE,"No")</f>
        <v>#NAME?</v>
      </c>
      <c r="I123" s="148" t="e">
        <f t="shared" ca="1" si="23"/>
        <v>#NAME?</v>
      </c>
      <c r="J123" s="122"/>
      <c r="K123" s="122"/>
      <c r="L123" s="171"/>
      <c r="M123" s="171"/>
      <c r="N123" s="172"/>
      <c r="O123" s="172"/>
    </row>
    <row r="124" spans="1:15" x14ac:dyDescent="0.4">
      <c r="A124" s="640"/>
      <c r="B124" s="638"/>
      <c r="C124" s="363"/>
      <c r="D124" s="150">
        <f>電機廠報告與驗收規範!$J$48</f>
        <v>2.5</v>
      </c>
      <c r="E124" s="132" t="str">
        <f>IF(電機廠報告與驗收規範!W48="","-",電機廠報告與驗收規範!W48)</f>
        <v>-</v>
      </c>
      <c r="F124" s="132" t="str">
        <f>IF(電機廠報告與驗收規範!Y48="","-",電機廠報告與驗收規範!Y48)</f>
        <v>-</v>
      </c>
      <c r="G124" s="147" t="str">
        <f t="shared" si="24"/>
        <v>-</v>
      </c>
      <c r="H124" s="131" t="e" cm="1">
        <f t="array" aca="1" ref="H124" ca="1">_xlfn.IFS(G124="-","-",ABS(G124)&lt;=$Q$17,"Yes",TRUE,"No")</f>
        <v>#NAME?</v>
      </c>
      <c r="I124" s="148" t="e">
        <f t="shared" ca="1" si="23"/>
        <v>#NAME?</v>
      </c>
      <c r="J124" s="122"/>
      <c r="K124" s="122"/>
      <c r="L124" s="171"/>
      <c r="M124" s="171"/>
      <c r="N124" s="172"/>
      <c r="O124" s="172"/>
    </row>
    <row r="125" spans="1:15" x14ac:dyDescent="0.4">
      <c r="A125" s="640"/>
      <c r="B125" s="638"/>
      <c r="C125" s="363"/>
      <c r="D125" s="150">
        <f>電機廠報告與驗收規範!$J$49</f>
        <v>3</v>
      </c>
      <c r="E125" s="132" t="str">
        <f>IF(電機廠報告與驗收規範!W49="","-",電機廠報告與驗收規範!W49)</f>
        <v>-</v>
      </c>
      <c r="F125" s="132" t="str">
        <f>IF(電機廠報告與驗收規範!Y49="","-",電機廠報告與驗收規範!Y49)</f>
        <v>-</v>
      </c>
      <c r="G125" s="147" t="str">
        <f t="shared" si="24"/>
        <v>-</v>
      </c>
      <c r="H125" s="131" t="e" cm="1">
        <f t="array" aca="1" ref="H125" ca="1">_xlfn.IFS(G125="-","-",ABS(G125)&lt;=$Q$17,"Yes",TRUE,"No")</f>
        <v>#NAME?</v>
      </c>
      <c r="I125" s="148" t="e">
        <f t="shared" ca="1" si="23"/>
        <v>#NAME?</v>
      </c>
      <c r="J125" s="122"/>
      <c r="K125" s="122"/>
      <c r="L125" s="171"/>
      <c r="M125" s="171"/>
      <c r="N125" s="172"/>
      <c r="O125" s="172"/>
    </row>
    <row r="126" spans="1:15" x14ac:dyDescent="0.4">
      <c r="A126" s="640"/>
      <c r="B126" s="638"/>
      <c r="C126" s="363"/>
      <c r="D126" s="150">
        <f>電機廠報告與驗收規範!$J$50</f>
        <v>3.5</v>
      </c>
      <c r="E126" s="132" t="str">
        <f>IF(電機廠報告與驗收規範!W50="","-",電機廠報告與驗收規範!W50)</f>
        <v>-</v>
      </c>
      <c r="F126" s="132" t="str">
        <f>IF(電機廠報告與驗收規範!Y50="","-",電機廠報告與驗收規範!Y50)</f>
        <v>-</v>
      </c>
      <c r="G126" s="147" t="str">
        <f t="shared" si="24"/>
        <v>-</v>
      </c>
      <c r="H126" s="131" t="e" cm="1">
        <f t="array" aca="1" ref="H126" ca="1">_xlfn.IFS(G126="-","-",ABS(G126)&lt;=$Q$17,"Yes",TRUE,"No")</f>
        <v>#NAME?</v>
      </c>
      <c r="I126" s="148" t="e">
        <f t="shared" ca="1" si="23"/>
        <v>#NAME?</v>
      </c>
      <c r="J126" s="122"/>
      <c r="K126" s="122"/>
      <c r="L126" s="171"/>
      <c r="M126" s="171"/>
      <c r="N126" s="172"/>
      <c r="O126" s="172"/>
    </row>
    <row r="127" spans="1:15" x14ac:dyDescent="0.4">
      <c r="A127" s="640"/>
      <c r="B127" s="638"/>
      <c r="C127" s="363"/>
      <c r="D127" s="150">
        <f>電機廠報告與驗收規範!$J$51</f>
        <v>4</v>
      </c>
      <c r="E127" s="132" t="str">
        <f>IF(電機廠報告與驗收規範!W51="","-",電機廠報告與驗收規範!W51)</f>
        <v>-</v>
      </c>
      <c r="F127" s="132" t="str">
        <f>IF(電機廠報告與驗收規範!Y51="","-",電機廠報告與驗收規範!Y51)</f>
        <v>-</v>
      </c>
      <c r="G127" s="147" t="str">
        <f t="shared" si="24"/>
        <v>-</v>
      </c>
      <c r="H127" s="131" t="e" cm="1">
        <f t="array" aca="1" ref="H127" ca="1">_xlfn.IFS(G127="-","-",ABS(G127)&lt;=$Q$17,"Yes",TRUE,"No")</f>
        <v>#NAME?</v>
      </c>
      <c r="I127" s="148" t="e">
        <f t="shared" ca="1" si="23"/>
        <v>#NAME?</v>
      </c>
      <c r="J127" s="122"/>
      <c r="K127" s="122"/>
      <c r="L127" s="171"/>
      <c r="M127" s="171"/>
      <c r="N127" s="172"/>
      <c r="O127" s="172"/>
    </row>
    <row r="128" spans="1:15" ht="17.5" thickBot="1" x14ac:dyDescent="0.45">
      <c r="A128" s="640"/>
      <c r="B128" s="638"/>
      <c r="C128" s="363"/>
      <c r="D128" s="150" t="str">
        <f>電機廠報告與驗收規範!$J$52</f>
        <v>最高轉速</v>
      </c>
      <c r="E128" s="141" t="str">
        <f>IF(電機廠報告與驗收規範!W52="","-",電機廠報告與驗收規範!W52)</f>
        <v>-</v>
      </c>
      <c r="F128" s="141" t="str">
        <f>IF(電機廠報告與驗收規範!Y52="","-",電機廠報告與驗收規範!Y52)</f>
        <v>-</v>
      </c>
      <c r="G128" s="147" t="str">
        <f t="shared" si="24"/>
        <v>-</v>
      </c>
      <c r="H128" s="131" t="e" cm="1">
        <f t="array" aca="1" ref="H128" ca="1">_xlfn.IFS(G128="-","-",ABS(G128)&lt;=$Q$17,"Yes",TRUE,"No")</f>
        <v>#NAME?</v>
      </c>
      <c r="I128" s="148" t="e">
        <f t="shared" ca="1" si="23"/>
        <v>#NAME?</v>
      </c>
      <c r="J128" s="122"/>
      <c r="K128" s="122"/>
      <c r="L128" s="171"/>
      <c r="M128" s="171"/>
      <c r="N128" s="172"/>
      <c r="O128" s="172"/>
    </row>
    <row r="129" spans="1:17" x14ac:dyDescent="0.4">
      <c r="A129" s="640"/>
      <c r="B129" s="638"/>
      <c r="C129" s="363"/>
      <c r="D129" s="648" t="s">
        <v>342</v>
      </c>
      <c r="E129" s="635" t="s">
        <v>338</v>
      </c>
      <c r="F129" s="635" t="s">
        <v>339</v>
      </c>
      <c r="G129" s="635" t="s">
        <v>344</v>
      </c>
      <c r="H129" s="637" t="s">
        <v>295</v>
      </c>
      <c r="I129" s="631" t="s">
        <v>296</v>
      </c>
      <c r="J129" s="122"/>
      <c r="K129" s="122"/>
      <c r="L129" s="171"/>
      <c r="M129" s="171"/>
      <c r="N129" s="172"/>
      <c r="O129" s="172"/>
    </row>
    <row r="130" spans="1:17" x14ac:dyDescent="0.4">
      <c r="A130" s="640"/>
      <c r="B130" s="638"/>
      <c r="C130" s="363"/>
      <c r="D130" s="649"/>
      <c r="E130" s="636"/>
      <c r="F130" s="636"/>
      <c r="G130" s="636"/>
      <c r="H130" s="638"/>
      <c r="I130" s="632"/>
      <c r="J130" s="122"/>
      <c r="K130" s="122"/>
      <c r="L130" s="171"/>
      <c r="M130" s="171"/>
      <c r="N130" s="172"/>
      <c r="O130" s="172"/>
    </row>
    <row r="131" spans="1:17" x14ac:dyDescent="0.4">
      <c r="A131" s="640"/>
      <c r="B131" s="638"/>
      <c r="C131" s="363"/>
      <c r="D131" s="150" t="str">
        <f>電機廠報告與驗收規範!$J$44</f>
        <v>50%</v>
      </c>
      <c r="E131" s="132">
        <f>IF(電機廠報告與驗收規範!X44="","-",電機廠報告與驗收規範!X44)</f>
        <v>8.27</v>
      </c>
      <c r="F131" s="132">
        <f>IF(電機廠報告與驗收規範!Z44="","-",電機廠報告與驗收規範!Z44)</f>
        <v>77.599999999999994</v>
      </c>
      <c r="G131" s="165">
        <f>IF(E120&lt;&gt;"-",(E120*F131/100-E131)/E131,"-")</f>
        <v>-6.7714631197090494E-4</v>
      </c>
      <c r="H131" s="131" t="e" cm="1">
        <f t="array" aca="1" ref="H131" ca="1">_xlfn.IFS(G131="-","-",ABS(G131)&lt;=$Q$18,"Yes",TRUE,"No")</f>
        <v>#NAME?</v>
      </c>
      <c r="I131" s="148" t="e">
        <f t="shared" ref="I131:I139" ca="1" si="25">IF(H131="No",_xlfn.TEXTJOIN("",TRUE,"輸出功率誤差&gt;",$Q$18*100,"%"),"")</f>
        <v>#NAME?</v>
      </c>
      <c r="J131" s="122"/>
      <c r="K131" s="122"/>
      <c r="L131" s="171"/>
      <c r="M131" s="171"/>
      <c r="N131" s="172"/>
      <c r="O131" s="172"/>
    </row>
    <row r="132" spans="1:17" x14ac:dyDescent="0.4">
      <c r="A132" s="640"/>
      <c r="B132" s="638"/>
      <c r="C132" s="363"/>
      <c r="D132" s="150">
        <f>電機廠報告與驗收規範!$J$45</f>
        <v>1</v>
      </c>
      <c r="E132" s="132">
        <f>IF(電機廠報告與驗收規範!X45="","-",電機廠報告與驗收規範!X45)</f>
        <v>16.399999999999999</v>
      </c>
      <c r="F132" s="132">
        <f>IF(電機廠報告與驗收規範!Z45="","-",電機廠報告與驗收規範!Z45)</f>
        <v>83.2</v>
      </c>
      <c r="G132" s="165">
        <f t="shared" ref="G132:G139" si="26">IF(E121&lt;&gt;"-",(E121*F132/100-E132)/E132,"-")</f>
        <v>-1.0224390243902266E-2</v>
      </c>
      <c r="H132" s="131" t="e" cm="1">
        <f t="array" aca="1" ref="H132" ca="1">_xlfn.IFS(G132="-","-",ABS(G132)&lt;=$Q$18,"Yes",TRUE,"No")</f>
        <v>#NAME?</v>
      </c>
      <c r="I132" s="148" t="e">
        <f t="shared" ca="1" si="25"/>
        <v>#NAME?</v>
      </c>
      <c r="J132" s="122"/>
      <c r="K132" s="122"/>
      <c r="L132" s="122"/>
      <c r="M132" s="122"/>
    </row>
    <row r="133" spans="1:17" x14ac:dyDescent="0.4">
      <c r="A133" s="640"/>
      <c r="B133" s="638"/>
      <c r="C133" s="363"/>
      <c r="D133" s="150">
        <f>電機廠報告與驗收規範!$J$46</f>
        <v>1.5</v>
      </c>
      <c r="E133" s="132" t="str">
        <f>IF(電機廠報告與驗收規範!X46="","-",電機廠報告與驗收規範!X46)</f>
        <v>-</v>
      </c>
      <c r="F133" s="132" t="str">
        <f>IF(電機廠報告與驗收規範!Z46="","-",電機廠報告與驗收規範!Z46)</f>
        <v>-</v>
      </c>
      <c r="G133" s="165" t="str">
        <f t="shared" si="26"/>
        <v>-</v>
      </c>
      <c r="H133" s="131" t="e" cm="1">
        <f t="array" aca="1" ref="H133" ca="1">_xlfn.IFS(G133="-","-",ABS(G133)&lt;=$Q$18,"Yes",TRUE,"No")</f>
        <v>#NAME?</v>
      </c>
      <c r="I133" s="148" t="e">
        <f t="shared" ca="1" si="25"/>
        <v>#NAME?</v>
      </c>
      <c r="J133" s="122"/>
      <c r="K133" s="122"/>
      <c r="L133" s="122"/>
      <c r="M133" s="122"/>
    </row>
    <row r="134" spans="1:17" x14ac:dyDescent="0.4">
      <c r="A134" s="640"/>
      <c r="B134" s="638"/>
      <c r="C134" s="363"/>
      <c r="D134" s="150">
        <f>電機廠報告與驗收規範!$J$47</f>
        <v>2</v>
      </c>
      <c r="E134" s="132" t="str">
        <f>IF(電機廠報告與驗收規範!X47="","-",電機廠報告與驗收規範!X47)</f>
        <v>-</v>
      </c>
      <c r="F134" s="132" t="str">
        <f>IF(電機廠報告與驗收規範!Z47="","-",電機廠報告與驗收規範!Z47)</f>
        <v>-</v>
      </c>
      <c r="G134" s="165" t="str">
        <f t="shared" si="26"/>
        <v>-</v>
      </c>
      <c r="H134" s="131" t="e" cm="1">
        <f t="array" aca="1" ref="H134" ca="1">_xlfn.IFS(G134="-","-",ABS(G134)&lt;=$Q$18,"Yes",TRUE,"No")</f>
        <v>#NAME?</v>
      </c>
      <c r="I134" s="148" t="e">
        <f t="shared" ca="1" si="25"/>
        <v>#NAME?</v>
      </c>
      <c r="J134" s="122"/>
      <c r="K134" s="122"/>
      <c r="L134" s="122"/>
      <c r="M134" s="122"/>
    </row>
    <row r="135" spans="1:17" x14ac:dyDescent="0.4">
      <c r="A135" s="640"/>
      <c r="B135" s="638"/>
      <c r="C135" s="363"/>
      <c r="D135" s="150">
        <f>電機廠報告與驗收規範!$J$48</f>
        <v>2.5</v>
      </c>
      <c r="E135" s="132" t="str">
        <f>IF(電機廠報告與驗收規範!X48="","-",電機廠報告與驗收規範!X48)</f>
        <v>-</v>
      </c>
      <c r="F135" s="132" t="str">
        <f>IF(電機廠報告與驗收規範!Z48="","-",電機廠報告與驗收規範!Z48)</f>
        <v>-</v>
      </c>
      <c r="G135" s="165" t="str">
        <f t="shared" si="26"/>
        <v>-</v>
      </c>
      <c r="H135" s="131" t="e" cm="1">
        <f t="array" aca="1" ref="H135" ca="1">_xlfn.IFS(G135="-","-",ABS(G135)&lt;=$Q$18,"Yes",TRUE,"No")</f>
        <v>#NAME?</v>
      </c>
      <c r="I135" s="148" t="e">
        <f t="shared" ca="1" si="25"/>
        <v>#NAME?</v>
      </c>
      <c r="J135" s="122"/>
      <c r="K135" s="122"/>
      <c r="L135" s="122"/>
      <c r="M135" s="122"/>
    </row>
    <row r="136" spans="1:17" x14ac:dyDescent="0.4">
      <c r="A136" s="640"/>
      <c r="B136" s="638"/>
      <c r="C136" s="363"/>
      <c r="D136" s="150">
        <f>電機廠報告與驗收規範!$J$49</f>
        <v>3</v>
      </c>
      <c r="E136" s="132" t="str">
        <f>IF(電機廠報告與驗收規範!X49="","-",電機廠報告與驗收規範!X49)</f>
        <v>-</v>
      </c>
      <c r="F136" s="132" t="str">
        <f>IF(電機廠報告與驗收規範!Z49="","-",電機廠報告與驗收規範!Z49)</f>
        <v>-</v>
      </c>
      <c r="G136" s="165" t="str">
        <f t="shared" si="26"/>
        <v>-</v>
      </c>
      <c r="H136" s="131" t="e" cm="1">
        <f t="array" aca="1" ref="H136" ca="1">_xlfn.IFS(G136="-","-",ABS(G136)&lt;=$Q$18,"Yes",TRUE,"No")</f>
        <v>#NAME?</v>
      </c>
      <c r="I136" s="148" t="e">
        <f t="shared" ca="1" si="25"/>
        <v>#NAME?</v>
      </c>
      <c r="J136" s="122"/>
      <c r="K136" s="122"/>
      <c r="L136" s="122"/>
      <c r="M136" s="122"/>
    </row>
    <row r="137" spans="1:17" x14ac:dyDescent="0.4">
      <c r="A137" s="640"/>
      <c r="B137" s="638"/>
      <c r="C137" s="363"/>
      <c r="D137" s="150">
        <f>電機廠報告與驗收規範!$J$50</f>
        <v>3.5</v>
      </c>
      <c r="E137" s="132" t="str">
        <f>IF(電機廠報告與驗收規範!X50="","-",電機廠報告與驗收規範!X50)</f>
        <v>-</v>
      </c>
      <c r="F137" s="132" t="str">
        <f>IF(電機廠報告與驗收規範!Z50="","-",電機廠報告與驗收規範!Z50)</f>
        <v>-</v>
      </c>
      <c r="G137" s="165" t="str">
        <f t="shared" si="26"/>
        <v>-</v>
      </c>
      <c r="H137" s="131" t="e" cm="1">
        <f t="array" aca="1" ref="H137" ca="1">_xlfn.IFS(G137="-","-",ABS(G137)&lt;=$Q$18,"Yes",TRUE,"No")</f>
        <v>#NAME?</v>
      </c>
      <c r="I137" s="148" t="e">
        <f t="shared" ca="1" si="25"/>
        <v>#NAME?</v>
      </c>
      <c r="J137" s="122"/>
      <c r="K137" s="122"/>
      <c r="L137" s="122"/>
      <c r="M137" s="122"/>
    </row>
    <row r="138" spans="1:17" x14ac:dyDescent="0.4">
      <c r="A138" s="640"/>
      <c r="B138" s="638"/>
      <c r="C138" s="363"/>
      <c r="D138" s="150">
        <f>電機廠報告與驗收規範!$J$51</f>
        <v>4</v>
      </c>
      <c r="E138" s="132" t="str">
        <f>IF(電機廠報告與驗收規範!X51="","-",電機廠報告與驗收規範!X51)</f>
        <v>-</v>
      </c>
      <c r="F138" s="132" t="str">
        <f>IF(電機廠報告與驗收規範!Z51="","-",電機廠報告與驗收規範!Z51)</f>
        <v>-</v>
      </c>
      <c r="G138" s="165" t="str">
        <f t="shared" si="26"/>
        <v>-</v>
      </c>
      <c r="H138" s="131" t="e" cm="1">
        <f t="array" aca="1" ref="H138" ca="1">_xlfn.IFS(G138="-","-",ABS(G138)&lt;=$Q$18,"Yes",TRUE,"No")</f>
        <v>#NAME?</v>
      </c>
      <c r="I138" s="148" t="e">
        <f t="shared" ca="1" si="25"/>
        <v>#NAME?</v>
      </c>
      <c r="J138" s="122"/>
      <c r="K138" s="122"/>
      <c r="L138" s="122"/>
      <c r="M138" s="122"/>
    </row>
    <row r="139" spans="1:17" ht="17.5" thickBot="1" x14ac:dyDescent="0.45">
      <c r="A139" s="660"/>
      <c r="B139" s="654"/>
      <c r="C139" s="661"/>
      <c r="D139" s="150" t="str">
        <f>電機廠報告與驗收規範!$J$52</f>
        <v>最高轉速</v>
      </c>
      <c r="E139" s="152" t="str">
        <f>IF(電機廠報告與驗收規範!X52="","-",電機廠報告與驗收規範!X52)</f>
        <v>-</v>
      </c>
      <c r="F139" s="152" t="str">
        <f>IF(電機廠報告與驗收規範!Z52="","-",電機廠報告與驗收規範!Z52)</f>
        <v>-</v>
      </c>
      <c r="G139" s="166" t="str">
        <f t="shared" si="26"/>
        <v>-</v>
      </c>
      <c r="H139" s="131" t="e" cm="1">
        <f t="array" aca="1" ref="H139" ca="1">_xlfn.IFS(G139="-","-",ABS(G139)&lt;=$Q$18,"Yes",TRUE,"No")</f>
        <v>#NAME?</v>
      </c>
      <c r="I139" s="154" t="e">
        <f t="shared" ca="1" si="25"/>
        <v>#NAME?</v>
      </c>
      <c r="J139" s="122"/>
      <c r="K139" s="122"/>
      <c r="L139" s="122"/>
      <c r="M139" s="122"/>
    </row>
    <row r="140" spans="1:17" ht="16.149999999999999" customHeight="1" x14ac:dyDescent="0.4">
      <c r="A140" s="639">
        <v>12</v>
      </c>
      <c r="B140" s="641" t="s">
        <v>345</v>
      </c>
      <c r="C140" s="361" t="s">
        <v>346</v>
      </c>
      <c r="D140" s="648" t="s">
        <v>342</v>
      </c>
      <c r="E140" s="635" t="s">
        <v>307</v>
      </c>
      <c r="F140" s="646" t="s">
        <v>308</v>
      </c>
      <c r="G140" s="635" t="s">
        <v>343</v>
      </c>
      <c r="H140" s="637" t="s">
        <v>295</v>
      </c>
      <c r="I140" s="631" t="s">
        <v>296</v>
      </c>
      <c r="J140" s="122"/>
      <c r="K140" s="122"/>
      <c r="L140" s="122"/>
      <c r="M140" s="122"/>
    </row>
    <row r="141" spans="1:17" x14ac:dyDescent="0.4">
      <c r="A141" s="640"/>
      <c r="B141" s="642"/>
      <c r="C141" s="363"/>
      <c r="D141" s="649"/>
      <c r="E141" s="636"/>
      <c r="F141" s="647"/>
      <c r="G141" s="636"/>
      <c r="H141" s="638"/>
      <c r="I141" s="632"/>
      <c r="J141" s="122"/>
      <c r="K141" s="122"/>
      <c r="L141" s="122"/>
      <c r="M141" s="122"/>
    </row>
    <row r="142" spans="1:17" x14ac:dyDescent="0.4">
      <c r="A142" s="640"/>
      <c r="B142" s="642"/>
      <c r="C142" s="363"/>
      <c r="D142" s="146" t="str">
        <f>電機廠報告與驗收規範!$K$56</f>
        <v>60%</v>
      </c>
      <c r="E142" s="173">
        <f>電機廠報告與驗收規範!L56</f>
        <v>900</v>
      </c>
      <c r="F142" s="174">
        <f>IF(電機廠報告與驗收規範!P56="","-",電機廠報告與驗收規範!P56)</f>
        <v>900</v>
      </c>
      <c r="G142" s="165">
        <f>IF(F142&lt;&gt;"-",(F142-E142)/E142,"-")</f>
        <v>0</v>
      </c>
      <c r="H142" s="131" t="e" cm="1">
        <f t="array" aca="1" ref="H142" ca="1">_xlfn.IFS(G142="-","-",ABS(G142)&lt;=$Q$22,"Yes",TRUE,"No")</f>
        <v>#NAME?</v>
      </c>
      <c r="I142" s="148" t="e">
        <f t="shared" ref="I142:I151" ca="1" si="27">IF(H142="No",_xlfn.TEXTJOIN("",TRUE,"轉速誤差&gt;",$Q$22*100,"%"),"")</f>
        <v>#NAME?</v>
      </c>
      <c r="J142" s="122"/>
      <c r="K142" s="122"/>
      <c r="L142" s="122"/>
      <c r="M142" s="122"/>
    </row>
    <row r="143" spans="1:17" ht="16.149999999999999" customHeight="1" x14ac:dyDescent="0.4">
      <c r="A143" s="640"/>
      <c r="B143" s="642"/>
      <c r="C143" s="363"/>
      <c r="D143" s="146" t="str">
        <f>電機廠報告與驗收規範!$K$57</f>
        <v>80%</v>
      </c>
      <c r="E143" s="173">
        <f>電機廠報告與驗收規範!L57</f>
        <v>1200</v>
      </c>
      <c r="F143" s="174">
        <f>IF(電機廠報告與驗收規範!P57="","-",電機廠報告與驗收規範!P57)</f>
        <v>1201</v>
      </c>
      <c r="G143" s="165">
        <f t="shared" ref="G143:G151" si="28">IF(F143&lt;&gt;"-",(F143-E143)/E143,"-")</f>
        <v>8.3333333333333339E-4</v>
      </c>
      <c r="H143" s="131" t="e" cm="1">
        <f t="array" aca="1" ref="H143" ca="1">_xlfn.IFS(G143="-","-",ABS(G143)&lt;=$Q$22,"Yes",TRUE,"No")</f>
        <v>#NAME?</v>
      </c>
      <c r="I143" s="148" t="e">
        <f t="shared" ca="1" si="27"/>
        <v>#NAME?</v>
      </c>
      <c r="J143" s="122"/>
      <c r="K143" s="122"/>
      <c r="L143" s="122"/>
      <c r="M143" s="122"/>
      <c r="O143" s="172"/>
      <c r="P143" s="172"/>
      <c r="Q143" s="172"/>
    </row>
    <row r="144" spans="1:17" x14ac:dyDescent="0.4">
      <c r="A144" s="640"/>
      <c r="B144" s="642"/>
      <c r="C144" s="363"/>
      <c r="D144" s="146">
        <f>電機廠報告與驗收規範!$K$58</f>
        <v>1</v>
      </c>
      <c r="E144" s="173">
        <f>電機廠報告與驗收規範!L58</f>
        <v>1500</v>
      </c>
      <c r="F144" s="174">
        <f>IF(電機廠報告與驗收規範!P58="","-",電機廠報告與驗收規範!P58)</f>
        <v>1493</v>
      </c>
      <c r="G144" s="165">
        <f t="shared" si="28"/>
        <v>-4.6666666666666671E-3</v>
      </c>
      <c r="H144" s="131" t="e" cm="1">
        <f t="array" aca="1" ref="H144" ca="1">_xlfn.IFS(G144="-","-",ABS(G144)&lt;=$Q$22,"Yes",TRUE,"No")</f>
        <v>#NAME?</v>
      </c>
      <c r="I144" s="148" t="e">
        <f t="shared" ca="1" si="27"/>
        <v>#NAME?</v>
      </c>
      <c r="J144" s="122"/>
      <c r="K144" s="122"/>
      <c r="L144" s="122"/>
      <c r="M144" s="122"/>
      <c r="N144" s="172"/>
      <c r="O144" s="172"/>
      <c r="P144" s="172"/>
      <c r="Q144" s="172"/>
    </row>
    <row r="145" spans="1:17" x14ac:dyDescent="0.4">
      <c r="A145" s="640"/>
      <c r="B145" s="642"/>
      <c r="C145" s="363"/>
      <c r="D145" s="146">
        <f>電機廠報告與驗收規範!$K$59</f>
        <v>1.5</v>
      </c>
      <c r="E145" s="173">
        <f>電機廠報告與驗收規範!L59</f>
        <v>2250</v>
      </c>
      <c r="F145" s="174" t="str">
        <f>IF(電機廠報告與驗收規範!P59="","-",電機廠報告與驗收規範!P59)</f>
        <v>-</v>
      </c>
      <c r="G145" s="165" t="str">
        <f t="shared" si="28"/>
        <v>-</v>
      </c>
      <c r="H145" s="131" t="e" cm="1">
        <f t="array" aca="1" ref="H145" ca="1">_xlfn.IFS(G145="-","-",ABS(G145)&lt;=$Q$22,"Yes",TRUE,"No")</f>
        <v>#NAME?</v>
      </c>
      <c r="I145" s="148" t="e">
        <f t="shared" ca="1" si="27"/>
        <v>#NAME?</v>
      </c>
      <c r="J145" s="122"/>
      <c r="K145" s="122"/>
      <c r="L145" s="122"/>
      <c r="M145" s="122"/>
      <c r="N145" s="172"/>
      <c r="O145" s="172"/>
      <c r="P145" s="172"/>
      <c r="Q145" s="172"/>
    </row>
    <row r="146" spans="1:17" x14ac:dyDescent="0.4">
      <c r="A146" s="640"/>
      <c r="B146" s="642"/>
      <c r="C146" s="363"/>
      <c r="D146" s="146">
        <f>電機廠報告與驗收規範!$K$60</f>
        <v>2</v>
      </c>
      <c r="E146" s="173">
        <f>電機廠報告與驗收規範!L60</f>
        <v>3000</v>
      </c>
      <c r="F146" s="174" t="str">
        <f>IF(電機廠報告與驗收規範!P60="","-",電機廠報告與驗收規範!P60)</f>
        <v>-</v>
      </c>
      <c r="G146" s="165" t="str">
        <f t="shared" si="28"/>
        <v>-</v>
      </c>
      <c r="H146" s="131" t="e" cm="1">
        <f t="array" aca="1" ref="H146" ca="1">_xlfn.IFS(G146="-","-",ABS(G146)&lt;=$Q$22,"Yes",TRUE,"No")</f>
        <v>#NAME?</v>
      </c>
      <c r="I146" s="148" t="e">
        <f t="shared" ca="1" si="27"/>
        <v>#NAME?</v>
      </c>
      <c r="J146" s="122"/>
      <c r="K146" s="122"/>
      <c r="L146" s="122"/>
      <c r="M146" s="122"/>
      <c r="N146" s="172"/>
      <c r="O146" s="172"/>
      <c r="P146" s="172"/>
      <c r="Q146" s="172"/>
    </row>
    <row r="147" spans="1:17" x14ac:dyDescent="0.4">
      <c r="A147" s="640"/>
      <c r="B147" s="642"/>
      <c r="C147" s="363"/>
      <c r="D147" s="146">
        <f>電機廠報告與驗收規範!$K$61</f>
        <v>2.5</v>
      </c>
      <c r="E147" s="173">
        <f>電機廠報告與驗收規範!L61</f>
        <v>3750</v>
      </c>
      <c r="F147" s="174" t="str">
        <f>IF(電機廠報告與驗收規範!P61="","-",電機廠報告與驗收規範!P61)</f>
        <v>-</v>
      </c>
      <c r="G147" s="165" t="str">
        <f t="shared" si="28"/>
        <v>-</v>
      </c>
      <c r="H147" s="131" t="e" cm="1">
        <f t="array" aca="1" ref="H147" ca="1">_xlfn.IFS(G147="-","-",ABS(G147)&lt;=$Q$22,"Yes",TRUE,"No")</f>
        <v>#NAME?</v>
      </c>
      <c r="I147" s="148" t="e">
        <f t="shared" ca="1" si="27"/>
        <v>#NAME?</v>
      </c>
      <c r="J147" s="122"/>
      <c r="K147" s="122"/>
      <c r="L147" s="122"/>
      <c r="M147" s="122"/>
      <c r="N147" s="172"/>
      <c r="O147" s="172"/>
      <c r="P147" s="172"/>
      <c r="Q147" s="172"/>
    </row>
    <row r="148" spans="1:17" x14ac:dyDescent="0.4">
      <c r="A148" s="640"/>
      <c r="B148" s="642"/>
      <c r="C148" s="363"/>
      <c r="D148" s="146">
        <f>電機廠報告與驗收規範!$K$62</f>
        <v>3</v>
      </c>
      <c r="E148" s="173">
        <f>電機廠報告與驗收規範!L62</f>
        <v>4500</v>
      </c>
      <c r="F148" s="174" t="str">
        <f>IF(電機廠報告與驗收規範!P62="","-",電機廠報告與驗收規範!P62)</f>
        <v>-</v>
      </c>
      <c r="G148" s="165" t="str">
        <f t="shared" si="28"/>
        <v>-</v>
      </c>
      <c r="H148" s="131" t="e" cm="1">
        <f t="array" aca="1" ref="H148" ca="1">_xlfn.IFS(G148="-","-",ABS(G148)&lt;=$Q$22,"Yes",TRUE,"No")</f>
        <v>#NAME?</v>
      </c>
      <c r="I148" s="148" t="e">
        <f t="shared" ca="1" si="27"/>
        <v>#NAME?</v>
      </c>
      <c r="J148" s="122"/>
      <c r="K148" s="122"/>
      <c r="L148" s="122"/>
      <c r="M148" s="122"/>
      <c r="N148" s="172"/>
      <c r="O148" s="172"/>
      <c r="P148" s="172"/>
      <c r="Q148" s="172"/>
    </row>
    <row r="149" spans="1:17" x14ac:dyDescent="0.4">
      <c r="A149" s="640"/>
      <c r="B149" s="642"/>
      <c r="C149" s="363"/>
      <c r="D149" s="146">
        <f>電機廠報告與驗收規範!$K$63</f>
        <v>3.5</v>
      </c>
      <c r="E149" s="173">
        <f>電機廠報告與驗收規範!L63</f>
        <v>5250</v>
      </c>
      <c r="F149" s="174" t="str">
        <f>IF(電機廠報告與驗收規範!P63="","-",電機廠報告與驗收規範!P63)</f>
        <v>-</v>
      </c>
      <c r="G149" s="165" t="str">
        <f t="shared" si="28"/>
        <v>-</v>
      </c>
      <c r="H149" s="131" t="e" cm="1">
        <f t="array" aca="1" ref="H149" ca="1">_xlfn.IFS(G149="-","-",ABS(G149)&lt;=$Q$22,"Yes",TRUE,"No")</f>
        <v>#NAME?</v>
      </c>
      <c r="I149" s="148" t="e">
        <f t="shared" ca="1" si="27"/>
        <v>#NAME?</v>
      </c>
      <c r="J149" s="122"/>
      <c r="K149" s="122"/>
      <c r="L149" s="122"/>
      <c r="M149" s="122"/>
      <c r="N149" s="172"/>
      <c r="O149" s="172"/>
      <c r="P149" s="172"/>
      <c r="Q149" s="172"/>
    </row>
    <row r="150" spans="1:17" x14ac:dyDescent="0.4">
      <c r="A150" s="640"/>
      <c r="B150" s="642"/>
      <c r="C150" s="363"/>
      <c r="D150" s="146">
        <f>電機廠報告與驗收規範!$K$64</f>
        <v>4</v>
      </c>
      <c r="E150" s="173">
        <f>電機廠報告與驗收規範!L64</f>
        <v>6000</v>
      </c>
      <c r="F150" s="174" t="str">
        <f>IF(電機廠報告與驗收規範!P64="","-",電機廠報告與驗收規範!P64)</f>
        <v>-</v>
      </c>
      <c r="G150" s="165" t="str">
        <f t="shared" si="28"/>
        <v>-</v>
      </c>
      <c r="H150" s="131" t="e" cm="1">
        <f t="array" aca="1" ref="H150" ca="1">_xlfn.IFS(G150="-","-",ABS(G150)&lt;=$Q$22,"Yes",TRUE,"No")</f>
        <v>#NAME?</v>
      </c>
      <c r="I150" s="148" t="e">
        <f t="shared" ca="1" si="27"/>
        <v>#NAME?</v>
      </c>
      <c r="J150" s="122"/>
      <c r="K150" s="122"/>
      <c r="L150" s="122"/>
      <c r="M150" s="122"/>
      <c r="N150" s="172"/>
      <c r="O150" s="172"/>
      <c r="P150" s="172"/>
      <c r="Q150" s="172"/>
    </row>
    <row r="151" spans="1:17" ht="17.5" thickBot="1" x14ac:dyDescent="0.45">
      <c r="A151" s="640"/>
      <c r="B151" s="642"/>
      <c r="C151" s="363"/>
      <c r="D151" s="146" t="str">
        <f>電機廠報告與驗收規範!$K$65</f>
        <v>最高轉速</v>
      </c>
      <c r="E151" s="175">
        <f>電機廠報告與驗收規範!L65</f>
        <v>8000</v>
      </c>
      <c r="F151" s="176" t="str">
        <f>IF(電機廠報告與驗收規範!P65="","-",電機廠報告與驗收規範!P65)</f>
        <v>-</v>
      </c>
      <c r="G151" s="166" t="str">
        <f t="shared" si="28"/>
        <v>-</v>
      </c>
      <c r="H151" s="131" t="e" cm="1">
        <f t="array" aca="1" ref="H151" ca="1">_xlfn.IFS(G151="-","-",ABS(G151)&lt;=$Q$22,"Yes",TRUE,"No")</f>
        <v>#NAME?</v>
      </c>
      <c r="I151" s="154" t="e">
        <f t="shared" ca="1" si="27"/>
        <v>#NAME?</v>
      </c>
      <c r="J151" s="122"/>
      <c r="K151" s="122"/>
      <c r="L151" s="122"/>
      <c r="M151" s="122"/>
      <c r="N151" s="172"/>
      <c r="O151" s="172"/>
      <c r="P151" s="172"/>
      <c r="Q151" s="172"/>
    </row>
    <row r="152" spans="1:17" x14ac:dyDescent="0.4">
      <c r="A152" s="640"/>
      <c r="B152" s="642"/>
      <c r="C152" s="363"/>
      <c r="D152" s="633" t="s">
        <v>342</v>
      </c>
      <c r="E152" s="646" t="s">
        <v>320</v>
      </c>
      <c r="F152" s="646" t="s">
        <v>321</v>
      </c>
      <c r="G152" s="635" t="s">
        <v>322</v>
      </c>
      <c r="H152" s="637" t="s">
        <v>323</v>
      </c>
      <c r="I152" s="637" t="s">
        <v>295</v>
      </c>
      <c r="J152" s="631" t="s">
        <v>296</v>
      </c>
      <c r="K152" s="122"/>
      <c r="L152" s="122"/>
      <c r="M152" s="122"/>
      <c r="N152" s="172"/>
      <c r="O152" s="172"/>
      <c r="P152" s="172"/>
      <c r="Q152" s="172"/>
    </row>
    <row r="153" spans="1:17" x14ac:dyDescent="0.4">
      <c r="A153" s="640"/>
      <c r="B153" s="642"/>
      <c r="C153" s="363"/>
      <c r="D153" s="634"/>
      <c r="E153" s="647"/>
      <c r="F153" s="647"/>
      <c r="G153" s="636"/>
      <c r="H153" s="638"/>
      <c r="I153" s="638"/>
      <c r="J153" s="632"/>
      <c r="K153" s="122"/>
      <c r="L153" s="122"/>
      <c r="M153" s="122"/>
      <c r="N153" s="172"/>
      <c r="O153" s="172"/>
      <c r="P153" s="172"/>
      <c r="Q153" s="172"/>
    </row>
    <row r="154" spans="1:17" x14ac:dyDescent="0.4">
      <c r="A154" s="640"/>
      <c r="B154" s="642"/>
      <c r="C154" s="363"/>
      <c r="D154" s="146" t="str">
        <f>電機廠報告與驗收規範!$K$56</f>
        <v>60%</v>
      </c>
      <c r="E154" s="155">
        <f>電機廠報告與驗收規範!M56</f>
        <v>2</v>
      </c>
      <c r="F154" s="131">
        <f>IF(電機廠報告與驗收規範!N56="","-",電機廠報告與驗收規範!N56)</f>
        <v>140</v>
      </c>
      <c r="G154" s="132">
        <f>IF(電機廠報告與驗收規範!Q56="","-",電機廠報告與驗收規範!Q56)</f>
        <v>140.80000000000001</v>
      </c>
      <c r="H154" s="147">
        <f>IF(G154&lt;&gt;"-",(G154-F154)/F154,"-")</f>
        <v>5.7142857142857958E-3</v>
      </c>
      <c r="I154" s="131" t="e" cm="1">
        <f t="array" aca="1" ref="I154" ca="1">_xlfn.IFS(H154="-","-",ABS(H154)&lt;=$Q$23,"Yes",TRUE,"No")</f>
        <v>#NAME?</v>
      </c>
      <c r="J154" s="148" t="e">
        <f t="shared" ref="J154:J163" ca="1" si="29">IF(I154="No",_xlfn.TEXTJOIN("",TRUE,"轉矩誤差&gt;",$Q$23*100,"%"),"")</f>
        <v>#NAME?</v>
      </c>
      <c r="K154" s="122"/>
      <c r="L154" s="122"/>
      <c r="M154" s="122"/>
      <c r="N154" s="172"/>
      <c r="O154" s="172"/>
      <c r="P154" s="172"/>
      <c r="Q154" s="172"/>
    </row>
    <row r="155" spans="1:17" x14ac:dyDescent="0.4">
      <c r="A155" s="640"/>
      <c r="B155" s="642"/>
      <c r="C155" s="363"/>
      <c r="D155" s="146" t="str">
        <f>電機廠報告與驗收規範!$K$57</f>
        <v>80%</v>
      </c>
      <c r="E155" s="155">
        <f>電機廠報告與驗收規範!M57</f>
        <v>2</v>
      </c>
      <c r="F155" s="131">
        <f>IF(電機廠報告與驗收規範!N57="","-",電機廠報告與驗收規範!N57)</f>
        <v>140</v>
      </c>
      <c r="G155" s="132">
        <f>IF(電機廠報告與驗收規範!Q57="","-",電機廠報告與驗收規範!Q57)</f>
        <v>140.6</v>
      </c>
      <c r="H155" s="147">
        <f t="shared" ref="H155:H163" si="30">IF(G155&lt;&gt;"-",(G155-F155)/F155,"-")</f>
        <v>4.2857142857142452E-3</v>
      </c>
      <c r="I155" s="131" t="e" cm="1">
        <f t="array" aca="1" ref="I155" ca="1">_xlfn.IFS(H155="-","-",ABS(H155)&lt;=$Q$23,"Yes",TRUE,"No")</f>
        <v>#NAME?</v>
      </c>
      <c r="J155" s="148" t="e">
        <f t="shared" ca="1" si="29"/>
        <v>#NAME?</v>
      </c>
      <c r="K155" s="122"/>
      <c r="L155" s="122"/>
      <c r="M155" s="122"/>
      <c r="N155" s="177"/>
      <c r="O155" s="177"/>
    </row>
    <row r="156" spans="1:17" x14ac:dyDescent="0.4">
      <c r="A156" s="640"/>
      <c r="B156" s="642"/>
      <c r="C156" s="363"/>
      <c r="D156" s="146">
        <f>電機廠報告與驗收規範!$K$58</f>
        <v>1</v>
      </c>
      <c r="E156" s="155">
        <f>電機廠報告與驗收規範!M58</f>
        <v>2</v>
      </c>
      <c r="F156" s="156">
        <f>IF(電機廠報告與驗收規範!N58="","-",電機廠報告與驗收規範!N58)</f>
        <v>140</v>
      </c>
      <c r="G156" s="132">
        <f>IF(電機廠報告與驗收規範!Q58="","-",電機廠報告與驗收規範!Q58)</f>
        <v>140.65</v>
      </c>
      <c r="H156" s="147">
        <f t="shared" si="30"/>
        <v>4.6428571428571838E-3</v>
      </c>
      <c r="I156" s="131" t="e" cm="1">
        <f t="array" aca="1" ref="I156" ca="1">_xlfn.IFS(H156="-","-",ABS(H156)&lt;=$Q$23,"Yes",TRUE,"No")</f>
        <v>#NAME?</v>
      </c>
      <c r="J156" s="148" t="e">
        <f t="shared" ca="1" si="29"/>
        <v>#NAME?</v>
      </c>
      <c r="K156" s="122"/>
      <c r="L156" s="122"/>
      <c r="M156" s="122"/>
      <c r="N156" s="177"/>
      <c r="O156" s="177"/>
    </row>
    <row r="157" spans="1:17" x14ac:dyDescent="0.4">
      <c r="A157" s="640"/>
      <c r="B157" s="642"/>
      <c r="C157" s="363"/>
      <c r="D157" s="146">
        <f>電機廠報告與驗收規範!$K$59</f>
        <v>1.5</v>
      </c>
      <c r="E157" s="155">
        <f>電機廠報告與驗收規範!M59</f>
        <v>1.3333333333333333</v>
      </c>
      <c r="F157" s="156">
        <f>IF(電機廠報告與驗收規範!N59="","-",電機廠報告與驗收規範!N59)</f>
        <v>93.333333333333329</v>
      </c>
      <c r="G157" s="132" t="str">
        <f>IF(電機廠報告與驗收規範!Q59="","-",電機廠報告與驗收規範!Q59)</f>
        <v>-</v>
      </c>
      <c r="H157" s="147" t="str">
        <f t="shared" si="30"/>
        <v>-</v>
      </c>
      <c r="I157" s="131" t="e" cm="1">
        <f t="array" aca="1" ref="I157" ca="1">_xlfn.IFS(H157="-","-",ABS(H157)&lt;=$Q$23,"Yes",TRUE,"No")</f>
        <v>#NAME?</v>
      </c>
      <c r="J157" s="148" t="e">
        <f t="shared" ca="1" si="29"/>
        <v>#NAME?</v>
      </c>
      <c r="K157" s="122"/>
      <c r="L157" s="122"/>
      <c r="M157" s="122"/>
    </row>
    <row r="158" spans="1:17" x14ac:dyDescent="0.4">
      <c r="A158" s="640"/>
      <c r="B158" s="642"/>
      <c r="C158" s="363"/>
      <c r="D158" s="146">
        <f>電機廠報告與驗收規範!$K$60</f>
        <v>2</v>
      </c>
      <c r="E158" s="155">
        <f>電機廠報告與驗收規範!M60</f>
        <v>1</v>
      </c>
      <c r="F158" s="156">
        <f>IF(電機廠報告與驗收規範!N60="","-",電機廠報告與驗收規範!N60)</f>
        <v>70</v>
      </c>
      <c r="G158" s="132" t="str">
        <f>IF(電機廠報告與驗收規範!Q60="","-",電機廠報告與驗收規範!Q60)</f>
        <v>-</v>
      </c>
      <c r="H158" s="147" t="str">
        <f t="shared" si="30"/>
        <v>-</v>
      </c>
      <c r="I158" s="131" t="e" cm="1">
        <f t="array" aca="1" ref="I158" ca="1">_xlfn.IFS(H158="-","-",ABS(H158)&lt;=$Q$23,"Yes",TRUE,"No")</f>
        <v>#NAME?</v>
      </c>
      <c r="J158" s="148" t="e">
        <f t="shared" ca="1" si="29"/>
        <v>#NAME?</v>
      </c>
      <c r="K158" s="122"/>
      <c r="L158" s="122"/>
      <c r="M158" s="122"/>
    </row>
    <row r="159" spans="1:17" x14ac:dyDescent="0.4">
      <c r="A159" s="640"/>
      <c r="B159" s="642"/>
      <c r="C159" s="363"/>
      <c r="D159" s="146">
        <f>電機廠報告與驗收規範!$K$61</f>
        <v>2.5</v>
      </c>
      <c r="E159" s="155">
        <f>電機廠報告與驗收規範!M61</f>
        <v>0.8</v>
      </c>
      <c r="F159" s="156">
        <f>IF(電機廠報告與驗收規範!N61="","-",電機廠報告與驗收規範!N61)</f>
        <v>56</v>
      </c>
      <c r="G159" s="132" t="str">
        <f>IF(電機廠報告與驗收規範!Q61="","-",電機廠報告與驗收規範!Q61)</f>
        <v>-</v>
      </c>
      <c r="H159" s="147" t="str">
        <f t="shared" si="30"/>
        <v>-</v>
      </c>
      <c r="I159" s="131" t="e" cm="1">
        <f t="array" aca="1" ref="I159" ca="1">_xlfn.IFS(H159="-","-",ABS(H159)&lt;=$Q$23,"Yes",TRUE,"No")</f>
        <v>#NAME?</v>
      </c>
      <c r="J159" s="148" t="e">
        <f t="shared" ca="1" si="29"/>
        <v>#NAME?</v>
      </c>
      <c r="K159" s="122"/>
      <c r="L159" s="122"/>
      <c r="M159" s="122"/>
    </row>
    <row r="160" spans="1:17" x14ac:dyDescent="0.4">
      <c r="A160" s="640"/>
      <c r="B160" s="642"/>
      <c r="C160" s="363"/>
      <c r="D160" s="146">
        <f>電機廠報告與驗收規範!$K$62</f>
        <v>3</v>
      </c>
      <c r="E160" s="155">
        <f>電機廠報告與驗收規範!M62</f>
        <v>0.66666666666666663</v>
      </c>
      <c r="F160" s="156">
        <f>IF(電機廠報告與驗收規範!N62="","-",電機廠報告與驗收規範!N62)</f>
        <v>46.666666666666664</v>
      </c>
      <c r="G160" s="132" t="str">
        <f>IF(電機廠報告與驗收規範!Q62="","-",電機廠報告與驗收規範!Q62)</f>
        <v>-</v>
      </c>
      <c r="H160" s="147" t="str">
        <f t="shared" si="30"/>
        <v>-</v>
      </c>
      <c r="I160" s="131" t="e" cm="1">
        <f t="array" aca="1" ref="I160" ca="1">_xlfn.IFS(H160="-","-",ABS(H160)&lt;=$Q$23,"Yes",TRUE,"No")</f>
        <v>#NAME?</v>
      </c>
      <c r="J160" s="148" t="e">
        <f t="shared" ca="1" si="29"/>
        <v>#NAME?</v>
      </c>
      <c r="K160" s="122"/>
      <c r="L160" s="122"/>
      <c r="M160" s="122"/>
    </row>
    <row r="161" spans="1:13" x14ac:dyDescent="0.4">
      <c r="A161" s="640"/>
      <c r="B161" s="642"/>
      <c r="C161" s="363"/>
      <c r="D161" s="146">
        <f>電機廠報告與驗收規範!$K$63</f>
        <v>3.5</v>
      </c>
      <c r="E161" s="155">
        <f>電機廠報告與驗收規範!M63</f>
        <v>0.5714285714285714</v>
      </c>
      <c r="F161" s="156">
        <f>IF(電機廠報告與驗收規範!N63="","-",電機廠報告與驗收規範!N63)</f>
        <v>40</v>
      </c>
      <c r="G161" s="132" t="str">
        <f>IF(電機廠報告與驗收規範!Q63="","-",電機廠報告與驗收規範!Q63)</f>
        <v>-</v>
      </c>
      <c r="H161" s="147" t="str">
        <f t="shared" si="30"/>
        <v>-</v>
      </c>
      <c r="I161" s="131" t="e" cm="1">
        <f t="array" aca="1" ref="I161" ca="1">_xlfn.IFS(H161="-","-",ABS(H161)&lt;=$Q$23,"Yes",TRUE,"No")</f>
        <v>#NAME?</v>
      </c>
      <c r="J161" s="148" t="e">
        <f t="shared" ca="1" si="29"/>
        <v>#NAME?</v>
      </c>
      <c r="K161" s="122"/>
      <c r="L161" s="122"/>
      <c r="M161" s="122"/>
    </row>
    <row r="162" spans="1:13" x14ac:dyDescent="0.4">
      <c r="A162" s="640"/>
      <c r="B162" s="642"/>
      <c r="C162" s="363"/>
      <c r="D162" s="146">
        <f>電機廠報告與驗收規範!$K$64</f>
        <v>4</v>
      </c>
      <c r="E162" s="155">
        <f>電機廠報告與驗收規範!M64</f>
        <v>0.5</v>
      </c>
      <c r="F162" s="156">
        <f>IF(電機廠報告與驗收規範!N64="","-",電機廠報告與驗收規範!N64)</f>
        <v>35</v>
      </c>
      <c r="G162" s="132" t="str">
        <f>IF(電機廠報告與驗收規範!Q64="","-",電機廠報告與驗收規範!Q64)</f>
        <v>-</v>
      </c>
      <c r="H162" s="147" t="str">
        <f t="shared" si="30"/>
        <v>-</v>
      </c>
      <c r="I162" s="131" t="e" cm="1">
        <f t="array" aca="1" ref="I162" ca="1">_xlfn.IFS(H162="-","-",ABS(H162)&lt;=$Q$23,"Yes",TRUE,"No")</f>
        <v>#NAME?</v>
      </c>
      <c r="J162" s="148" t="e">
        <f t="shared" ca="1" si="29"/>
        <v>#NAME?</v>
      </c>
      <c r="K162" s="122"/>
      <c r="L162" s="122"/>
      <c r="M162" s="122"/>
    </row>
    <row r="163" spans="1:13" ht="17.5" thickBot="1" x14ac:dyDescent="0.45">
      <c r="A163" s="640"/>
      <c r="B163" s="642"/>
      <c r="C163" s="363"/>
      <c r="D163" s="189" t="str">
        <f>電機廠報告與驗收規範!$K$65</f>
        <v>最高轉速</v>
      </c>
      <c r="E163" s="181">
        <f>電機廠報告與驗收規範!M65</f>
        <v>0.375</v>
      </c>
      <c r="F163" s="182">
        <f>IF(電機廠報告與驗收規範!N65="","-",電機廠報告與驗收規範!N65)</f>
        <v>26.25</v>
      </c>
      <c r="G163" s="152" t="str">
        <f>IF(電機廠報告與驗收規範!Q65="","-",電機廠報告與驗收規範!Q65)</f>
        <v>-</v>
      </c>
      <c r="H163" s="153" t="str">
        <f t="shared" si="30"/>
        <v>-</v>
      </c>
      <c r="I163" s="151" t="e" cm="1">
        <f t="array" aca="1" ref="I163" ca="1">_xlfn.IFS(H163="-","-",ABS(H163)&lt;=$Q$23,"Yes",TRUE,"No")</f>
        <v>#NAME?</v>
      </c>
      <c r="J163" s="154" t="e">
        <f t="shared" ca="1" si="29"/>
        <v>#NAME?</v>
      </c>
      <c r="K163" s="122"/>
      <c r="L163" s="122"/>
      <c r="M163" s="122"/>
    </row>
    <row r="164" spans="1:13" x14ac:dyDescent="0.4">
      <c r="A164" s="640"/>
      <c r="B164" s="642"/>
      <c r="C164" s="644"/>
      <c r="D164" s="633" t="s">
        <v>342</v>
      </c>
      <c r="E164" s="635" t="s">
        <v>331</v>
      </c>
      <c r="F164" s="635" t="s">
        <v>332</v>
      </c>
      <c r="G164" s="635" t="s">
        <v>333</v>
      </c>
      <c r="H164" s="635" t="s">
        <v>335</v>
      </c>
      <c r="I164" s="637" t="s">
        <v>295</v>
      </c>
      <c r="J164" s="631" t="s">
        <v>296</v>
      </c>
      <c r="K164" s="122"/>
      <c r="L164" s="122"/>
      <c r="M164" s="122"/>
    </row>
    <row r="165" spans="1:13" x14ac:dyDescent="0.4">
      <c r="A165" s="640"/>
      <c r="B165" s="642"/>
      <c r="C165" s="644"/>
      <c r="D165" s="634"/>
      <c r="E165" s="636"/>
      <c r="F165" s="636"/>
      <c r="G165" s="636"/>
      <c r="H165" s="636"/>
      <c r="I165" s="638"/>
      <c r="J165" s="632"/>
      <c r="K165" s="122"/>
      <c r="L165" s="122"/>
      <c r="M165" s="122"/>
    </row>
    <row r="166" spans="1:13" x14ac:dyDescent="0.4">
      <c r="A166" s="640"/>
      <c r="B166" s="642"/>
      <c r="C166" s="644"/>
      <c r="D166" s="160" t="str">
        <f>電機廠報告與驗收規範!$K$56</f>
        <v>60%</v>
      </c>
      <c r="E166" s="132">
        <f>IF(電機廠報告與驗收規範!R56="","-",電機廠報告與驗收規範!R56)</f>
        <v>67.900000000000006</v>
      </c>
      <c r="F166" s="132">
        <f>IF(電機廠報告與驗收規範!S56="","-",電機廠報告與驗收規範!S56)</f>
        <v>67.7</v>
      </c>
      <c r="G166" s="132">
        <f>IF(電機廠報告與驗收規範!T56="","-",電機廠報告與驗收規範!T56)</f>
        <v>67.8</v>
      </c>
      <c r="H166" s="159">
        <f>IF(E166&lt;&gt;"-",(MAX(E166:G166)-MIN(E166:G166))/MIN(E166:G166),"-")</f>
        <v>2.9542097488922132E-3</v>
      </c>
      <c r="I166" s="131" t="e" cm="1">
        <f t="array" aca="1" ref="I166" ca="1">_xlfn.IFS(H166="-","-",H166&lt;=$Q$24,"Yes",TRUE,"No")</f>
        <v>#NAME?</v>
      </c>
      <c r="J166" s="148" t="e">
        <f t="shared" ref="J166:J175" ca="1" si="31">IF(I166="No",_xlfn.TEXTJOIN("",TRUE,"三相電流誤差&gt;",$Q$24*100,"%"),"")</f>
        <v>#NAME?</v>
      </c>
      <c r="K166" s="122"/>
      <c r="L166" s="122"/>
      <c r="M166" s="122"/>
    </row>
    <row r="167" spans="1:13" x14ac:dyDescent="0.4">
      <c r="A167" s="640"/>
      <c r="B167" s="642"/>
      <c r="C167" s="644"/>
      <c r="D167" s="160" t="str">
        <f>電機廠報告與驗收規範!$K$57</f>
        <v>80%</v>
      </c>
      <c r="E167" s="132">
        <f>IF(電機廠報告與驗收規範!R57="","-",電機廠報告與驗收規範!R57)</f>
        <v>66.5</v>
      </c>
      <c r="F167" s="132">
        <f>IF(電機廠報告與驗收規範!S57="","-",電機廠報告與驗收規範!S57)</f>
        <v>66.3</v>
      </c>
      <c r="G167" s="132">
        <f>IF(電機廠報告與驗收規範!T57="","-",電機廠報告與驗收規範!T57)</f>
        <v>66.400000000000006</v>
      </c>
      <c r="H167" s="159">
        <f t="shared" ref="H167:H175" si="32">IF(E167&lt;&gt;"-",(MAX(E167:G167)-MIN(E167:G167))/MIN(E167:G167),"-")</f>
        <v>3.0165912518854126E-3</v>
      </c>
      <c r="I167" s="131" t="e" cm="1">
        <f t="array" aca="1" ref="I167" ca="1">_xlfn.IFS(H167="-","-",H167&lt;=$Q$24,"Yes",TRUE,"No")</f>
        <v>#NAME?</v>
      </c>
      <c r="J167" s="148" t="e">
        <f t="shared" ca="1" si="31"/>
        <v>#NAME?</v>
      </c>
      <c r="K167" s="122"/>
      <c r="L167" s="122"/>
      <c r="M167" s="122"/>
    </row>
    <row r="168" spans="1:13" x14ac:dyDescent="0.4">
      <c r="A168" s="640"/>
      <c r="B168" s="642"/>
      <c r="C168" s="644"/>
      <c r="D168" s="160">
        <f>電機廠報告與驗收規範!$K$58</f>
        <v>1</v>
      </c>
      <c r="E168" s="132">
        <f>IF(電機廠報告與驗收規範!R58="","-",電機廠報告與驗收規範!R58)</f>
        <v>66.900000000000006</v>
      </c>
      <c r="F168" s="132">
        <f>IF(電機廠報告與驗收規範!S58="","-",電機廠報告與驗收規範!S58)</f>
        <v>66.8</v>
      </c>
      <c r="G168" s="132">
        <f>IF(電機廠報告與驗收規範!T58="","-",電機廠報告與驗收規範!T58)</f>
        <v>66.599999999999994</v>
      </c>
      <c r="H168" s="159">
        <f t="shared" si="32"/>
        <v>4.5045045045046753E-3</v>
      </c>
      <c r="I168" s="131" t="e" cm="1">
        <f t="array" aca="1" ref="I168" ca="1">_xlfn.IFS(H168="-","-",H168&lt;=$Q$24,"Yes",TRUE,"No")</f>
        <v>#NAME?</v>
      </c>
      <c r="J168" s="148" t="e">
        <f t="shared" ca="1" si="31"/>
        <v>#NAME?</v>
      </c>
      <c r="K168" s="122"/>
      <c r="L168" s="122"/>
      <c r="M168" s="122"/>
    </row>
    <row r="169" spans="1:13" x14ac:dyDescent="0.4">
      <c r="A169" s="640"/>
      <c r="B169" s="642"/>
      <c r="C169" s="644"/>
      <c r="D169" s="160">
        <f>電機廠報告與驗收規範!$K$59</f>
        <v>1.5</v>
      </c>
      <c r="E169" s="132" t="str">
        <f>IF(電機廠報告與驗收規範!R59="","-",電機廠報告與驗收規範!R59)</f>
        <v>-</v>
      </c>
      <c r="F169" s="132" t="str">
        <f>IF(電機廠報告與驗收規範!S59="","-",電機廠報告與驗收規範!S59)</f>
        <v>-</v>
      </c>
      <c r="G169" s="132" t="str">
        <f>IF(電機廠報告與驗收規範!T59="","-",電機廠報告與驗收規範!T59)</f>
        <v>-</v>
      </c>
      <c r="H169" s="159" t="str">
        <f t="shared" si="32"/>
        <v>-</v>
      </c>
      <c r="I169" s="131" t="e" cm="1">
        <f t="array" aca="1" ref="I169" ca="1">_xlfn.IFS(H169="-","-",H169&lt;=$Q$24,"Yes",TRUE,"No")</f>
        <v>#NAME?</v>
      </c>
      <c r="J169" s="148" t="e">
        <f ca="1">IF(I169="No",_xlfn.TEXTJOIN("",TRUE,"三相電流誤差&gt;",$Q$24*100,"%"),"")</f>
        <v>#NAME?</v>
      </c>
      <c r="K169" s="122"/>
      <c r="L169" s="122"/>
      <c r="M169" s="122"/>
    </row>
    <row r="170" spans="1:13" x14ac:dyDescent="0.4">
      <c r="A170" s="640"/>
      <c r="B170" s="642"/>
      <c r="C170" s="644"/>
      <c r="D170" s="160">
        <f>電機廠報告與驗收規範!$K$60</f>
        <v>2</v>
      </c>
      <c r="E170" s="132" t="str">
        <f>IF(電機廠報告與驗收規範!R60="","-",電機廠報告與驗收規範!R60)</f>
        <v>-</v>
      </c>
      <c r="F170" s="132" t="str">
        <f>IF(電機廠報告與驗收規範!S60="","-",電機廠報告與驗收規範!S60)</f>
        <v>-</v>
      </c>
      <c r="G170" s="132" t="str">
        <f>IF(電機廠報告與驗收規範!T60="","-",電機廠報告與驗收規範!T60)</f>
        <v>-</v>
      </c>
      <c r="H170" s="159" t="str">
        <f t="shared" si="32"/>
        <v>-</v>
      </c>
      <c r="I170" s="131" t="e" cm="1">
        <f t="array" aca="1" ref="I170" ca="1">_xlfn.IFS(H170="-","-",H170&lt;=$Q$24,"Yes",TRUE,"No")</f>
        <v>#NAME?</v>
      </c>
      <c r="J170" s="148" t="e">
        <f t="shared" ca="1" si="31"/>
        <v>#NAME?</v>
      </c>
      <c r="K170" s="122"/>
      <c r="L170" s="122"/>
      <c r="M170" s="122"/>
    </row>
    <row r="171" spans="1:13" x14ac:dyDescent="0.4">
      <c r="A171" s="640"/>
      <c r="B171" s="642"/>
      <c r="C171" s="644"/>
      <c r="D171" s="160">
        <f>電機廠報告與驗收規範!$K$61</f>
        <v>2.5</v>
      </c>
      <c r="E171" s="132" t="str">
        <f>IF(電機廠報告與驗收規範!R61="","-",電機廠報告與驗收規範!R61)</f>
        <v>-</v>
      </c>
      <c r="F171" s="132" t="str">
        <f>IF(電機廠報告與驗收規範!S61="","-",電機廠報告與驗收規範!S61)</f>
        <v>-</v>
      </c>
      <c r="G171" s="132" t="str">
        <f>IF(電機廠報告與驗收規範!T61="","-",電機廠報告與驗收規範!T61)</f>
        <v>-</v>
      </c>
      <c r="H171" s="159" t="str">
        <f t="shared" si="32"/>
        <v>-</v>
      </c>
      <c r="I171" s="131" t="e" cm="1">
        <f t="array" aca="1" ref="I171" ca="1">_xlfn.IFS(H171="-","-",H171&lt;=$Q$24,"Yes",TRUE,"No")</f>
        <v>#NAME?</v>
      </c>
      <c r="J171" s="148" t="e">
        <f t="shared" ca="1" si="31"/>
        <v>#NAME?</v>
      </c>
      <c r="K171" s="122"/>
      <c r="L171" s="122"/>
      <c r="M171" s="122"/>
    </row>
    <row r="172" spans="1:13" x14ac:dyDescent="0.4">
      <c r="A172" s="640"/>
      <c r="B172" s="642"/>
      <c r="C172" s="644"/>
      <c r="D172" s="160">
        <f>電機廠報告與驗收規範!$K$62</f>
        <v>3</v>
      </c>
      <c r="E172" s="132" t="str">
        <f>IF(電機廠報告與驗收規範!R62="","-",電機廠報告與驗收規範!R62)</f>
        <v>-</v>
      </c>
      <c r="F172" s="132" t="str">
        <f>IF(電機廠報告與驗收規範!S62="","-",電機廠報告與驗收規範!S62)</f>
        <v>-</v>
      </c>
      <c r="G172" s="132" t="str">
        <f>IF(電機廠報告與驗收規範!T62="","-",電機廠報告與驗收規範!T62)</f>
        <v>-</v>
      </c>
      <c r="H172" s="159" t="str">
        <f t="shared" si="32"/>
        <v>-</v>
      </c>
      <c r="I172" s="131" t="e" cm="1">
        <f t="array" aca="1" ref="I172" ca="1">_xlfn.IFS(H172="-","-",H172&lt;=$Q$24,"Yes",TRUE,"No")</f>
        <v>#NAME?</v>
      </c>
      <c r="J172" s="148" t="e">
        <f t="shared" ca="1" si="31"/>
        <v>#NAME?</v>
      </c>
      <c r="K172" s="122"/>
      <c r="L172" s="122"/>
      <c r="M172" s="122"/>
    </row>
    <row r="173" spans="1:13" x14ac:dyDescent="0.4">
      <c r="A173" s="640"/>
      <c r="B173" s="642"/>
      <c r="C173" s="644"/>
      <c r="D173" s="160">
        <f>電機廠報告與驗收規範!$K$63</f>
        <v>3.5</v>
      </c>
      <c r="E173" s="132" t="str">
        <f>IF(電機廠報告與驗收規範!R63="","-",電機廠報告與驗收規範!R63)</f>
        <v>-</v>
      </c>
      <c r="F173" s="132" t="str">
        <f>IF(電機廠報告與驗收規範!S63="","-",電機廠報告與驗收規範!S63)</f>
        <v>-</v>
      </c>
      <c r="G173" s="132" t="str">
        <f>IF(電機廠報告與驗收規範!T63="","-",電機廠報告與驗收規範!T63)</f>
        <v>-</v>
      </c>
      <c r="H173" s="159" t="str">
        <f t="shared" si="32"/>
        <v>-</v>
      </c>
      <c r="I173" s="131" t="e" cm="1">
        <f t="array" aca="1" ref="I173" ca="1">_xlfn.IFS(H173="-","-",H173&lt;=$Q$24,"Yes",TRUE,"No")</f>
        <v>#NAME?</v>
      </c>
      <c r="J173" s="148" t="e">
        <f t="shared" ca="1" si="31"/>
        <v>#NAME?</v>
      </c>
      <c r="K173" s="122"/>
      <c r="L173" s="122"/>
      <c r="M173" s="122"/>
    </row>
    <row r="174" spans="1:13" x14ac:dyDescent="0.4">
      <c r="A174" s="640"/>
      <c r="B174" s="642"/>
      <c r="C174" s="644"/>
      <c r="D174" s="160">
        <f>電機廠報告與驗收規範!$K$64</f>
        <v>4</v>
      </c>
      <c r="E174" s="132" t="str">
        <f>IF(電機廠報告與驗收規範!R64="","-",電機廠報告與驗收規範!R64)</f>
        <v>-</v>
      </c>
      <c r="F174" s="132" t="str">
        <f>IF(電機廠報告與驗收規範!S64="","-",電機廠報告與驗收規範!S64)</f>
        <v>-</v>
      </c>
      <c r="G174" s="132" t="str">
        <f>IF(電機廠報告與驗收規範!T64="","-",電機廠報告與驗收規範!T64)</f>
        <v>-</v>
      </c>
      <c r="H174" s="159" t="str">
        <f t="shared" si="32"/>
        <v>-</v>
      </c>
      <c r="I174" s="131" t="e" cm="1">
        <f t="array" aca="1" ref="I174" ca="1">_xlfn.IFS(H174="-","-",H174&lt;=$Q$24,"Yes",TRUE,"No")</f>
        <v>#NAME?</v>
      </c>
      <c r="J174" s="148" t="e">
        <f t="shared" ca="1" si="31"/>
        <v>#NAME?</v>
      </c>
      <c r="K174" s="122"/>
      <c r="L174" s="122"/>
      <c r="M174" s="122"/>
    </row>
    <row r="175" spans="1:13" ht="17.5" thickBot="1" x14ac:dyDescent="0.45">
      <c r="A175" s="624"/>
      <c r="B175" s="643"/>
      <c r="C175" s="645"/>
      <c r="D175" s="183" t="str">
        <f>電機廠報告與驗收規範!$K$65</f>
        <v>最高轉速</v>
      </c>
      <c r="E175" s="141" t="str">
        <f>IF(電機廠報告與驗收規範!R65="","-",電機廠報告與驗收規範!R65)</f>
        <v>-</v>
      </c>
      <c r="F175" s="141" t="str">
        <f>IF(電機廠報告與驗收規範!S65="","-",電機廠報告與驗收規範!S65)</f>
        <v>-</v>
      </c>
      <c r="G175" s="141" t="str">
        <f>IF(電機廠報告與驗收規範!T65="","-",電機廠報告與驗收規範!T65)</f>
        <v>-</v>
      </c>
      <c r="H175" s="164" t="str">
        <f t="shared" si="32"/>
        <v>-</v>
      </c>
      <c r="I175" s="140" t="e" cm="1">
        <f t="array" aca="1" ref="I175" ca="1">_xlfn.IFS(H175="-","-",H175&lt;=$Q$24,"Yes",TRUE,"No")</f>
        <v>#NAME?</v>
      </c>
      <c r="J175" s="144" t="e">
        <f t="shared" ca="1" si="31"/>
        <v>#NAME?</v>
      </c>
      <c r="K175" s="122"/>
      <c r="L175" s="122"/>
      <c r="M175" s="122"/>
    </row>
    <row r="176" spans="1:13" x14ac:dyDescent="0.4">
      <c r="A176" s="623">
        <v>13</v>
      </c>
      <c r="B176" s="625" t="s">
        <v>347</v>
      </c>
      <c r="C176" s="627" t="s">
        <v>348</v>
      </c>
      <c r="D176" s="629" t="s">
        <v>349</v>
      </c>
      <c r="E176" s="190" t="s">
        <v>350</v>
      </c>
      <c r="F176" s="190" t="s">
        <v>351</v>
      </c>
      <c r="G176" s="190" t="s">
        <v>295</v>
      </c>
      <c r="H176" s="191" t="s">
        <v>296</v>
      </c>
      <c r="I176" s="122"/>
      <c r="J176" s="122"/>
      <c r="K176" s="122"/>
      <c r="L176" s="122"/>
      <c r="M176" s="122"/>
    </row>
    <row r="177" spans="1:13" ht="17.5" thickBot="1" x14ac:dyDescent="0.45">
      <c r="A177" s="624"/>
      <c r="B177" s="626"/>
      <c r="C177" s="628"/>
      <c r="D177" s="630"/>
      <c r="E177" s="178">
        <f>電機廠報告與驗收規範!P70</f>
        <v>0.13500000000000001</v>
      </c>
      <c r="F177" s="179">
        <f>IF(電機廠報告與驗收規範!R70="","-",電機廠報告與驗收規範!R70)</f>
        <v>0.13500000000000001</v>
      </c>
      <c r="G177" s="140" t="e" cm="1">
        <f t="array" aca="1" ref="G177" ca="1">_xlfn.IFS(ABS((F7/2-F177)/F177)&lt;=Q25,"Yes",F177="-","-",TRUE,"No")</f>
        <v>#NAME?</v>
      </c>
      <c r="H177" s="144" t="e">
        <f ca="1">IF(G177="No",_xlfn.TEXTJOIN("",TRUE,"R1與各項電阻平均值&gt;",Q25*100,"%"),"")</f>
        <v>#NAME?</v>
      </c>
      <c r="I177" s="122"/>
      <c r="J177" s="122"/>
      <c r="K177" s="122"/>
      <c r="L177" s="122"/>
      <c r="M177" s="122"/>
    </row>
    <row r="178" spans="1:13" ht="17.5" thickBot="1" x14ac:dyDescent="0.45"/>
    <row r="179" spans="1:13" x14ac:dyDescent="0.4">
      <c r="B179" s="124" t="s">
        <v>352</v>
      </c>
      <c r="C179" s="192">
        <v>167</v>
      </c>
    </row>
    <row r="180" spans="1:13" x14ac:dyDescent="0.4">
      <c r="B180" s="136" t="s">
        <v>353</v>
      </c>
      <c r="C180" s="193">
        <f ca="1">COUNTIF(D2:M177,"Yes")</f>
        <v>4</v>
      </c>
    </row>
    <row r="181" spans="1:13" x14ac:dyDescent="0.4">
      <c r="B181" s="136" t="s">
        <v>354</v>
      </c>
      <c r="C181" s="193">
        <f ca="1">COUNTIF(D2:M177,"No")</f>
        <v>0</v>
      </c>
    </row>
    <row r="182" spans="1:13" ht="17.5" thickBot="1" x14ac:dyDescent="0.45">
      <c r="B182" s="158" t="s">
        <v>355</v>
      </c>
      <c r="C182" s="194">
        <f ca="1">C179-C180-C181</f>
        <v>163</v>
      </c>
    </row>
  </sheetData>
  <sheetProtection algorithmName="SHA-512" hashValue="AqLThoxlPu3bXM6iZIHp02ycp7ZtI7ZcRsv58XzFmJwFuJHGvUxXNRxmFHq7t88EnycA+6QwkGxHugtD5erxRQ==" saltValue="75P/COUOsf54d2cr81p0lQ==" spinCount="100000" sheet="1"/>
  <mergeCells count="136">
    <mergeCell ref="L2:L3"/>
    <mergeCell ref="A3:A7"/>
    <mergeCell ref="B3:B7"/>
    <mergeCell ref="O3:O14"/>
    <mergeCell ref="A8:A73"/>
    <mergeCell ref="B8:B73"/>
    <mergeCell ref="C8:C73"/>
    <mergeCell ref="D8:D9"/>
    <mergeCell ref="E8:E9"/>
    <mergeCell ref="F8:F9"/>
    <mergeCell ref="O1:O2"/>
    <mergeCell ref="C2:C7"/>
    <mergeCell ref="D2:D3"/>
    <mergeCell ref="E2:E3"/>
    <mergeCell ref="F2:F3"/>
    <mergeCell ref="G2:G3"/>
    <mergeCell ref="H2:H3"/>
    <mergeCell ref="I2:I3"/>
    <mergeCell ref="J2:J3"/>
    <mergeCell ref="K2:K3"/>
    <mergeCell ref="G8:G9"/>
    <mergeCell ref="H8:H9"/>
    <mergeCell ref="I8:I9"/>
    <mergeCell ref="O15:O21"/>
    <mergeCell ref="D19:D20"/>
    <mergeCell ref="E19:E20"/>
    <mergeCell ref="F19:F20"/>
    <mergeCell ref="G19:G20"/>
    <mergeCell ref="H19:H20"/>
    <mergeCell ref="I19:I20"/>
    <mergeCell ref="J19:J20"/>
    <mergeCell ref="O22:O24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D41:D42"/>
    <mergeCell ref="E41:E42"/>
    <mergeCell ref="F41:F42"/>
    <mergeCell ref="G41:G42"/>
    <mergeCell ref="H41:H42"/>
    <mergeCell ref="I41:I42"/>
    <mergeCell ref="J41:J42"/>
    <mergeCell ref="K41:K42"/>
    <mergeCell ref="D63:D64"/>
    <mergeCell ref="E63:E64"/>
    <mergeCell ref="F63:F64"/>
    <mergeCell ref="G63:G64"/>
    <mergeCell ref="H63:H64"/>
    <mergeCell ref="I63:I64"/>
    <mergeCell ref="L41:L42"/>
    <mergeCell ref="M41:M42"/>
    <mergeCell ref="D52:D53"/>
    <mergeCell ref="E52:E53"/>
    <mergeCell ref="F52:F53"/>
    <mergeCell ref="G52:G53"/>
    <mergeCell ref="H52:H53"/>
    <mergeCell ref="I52:I53"/>
    <mergeCell ref="A74:A139"/>
    <mergeCell ref="B74:B139"/>
    <mergeCell ref="C74:C139"/>
    <mergeCell ref="D74:D75"/>
    <mergeCell ref="E74:E75"/>
    <mergeCell ref="F74:F75"/>
    <mergeCell ref="D118:D119"/>
    <mergeCell ref="E118:E119"/>
    <mergeCell ref="F118:F119"/>
    <mergeCell ref="J85:J86"/>
    <mergeCell ref="D96:D97"/>
    <mergeCell ref="E96:E97"/>
    <mergeCell ref="F96:F97"/>
    <mergeCell ref="G96:G97"/>
    <mergeCell ref="H96:H97"/>
    <mergeCell ref="I96:I97"/>
    <mergeCell ref="G74:G75"/>
    <mergeCell ref="H74:H75"/>
    <mergeCell ref="I74:I75"/>
    <mergeCell ref="D85:D86"/>
    <mergeCell ref="E85:E86"/>
    <mergeCell ref="F85:F86"/>
    <mergeCell ref="G85:G86"/>
    <mergeCell ref="H85:H86"/>
    <mergeCell ref="I85:I86"/>
    <mergeCell ref="K96:K97"/>
    <mergeCell ref="L96:L97"/>
    <mergeCell ref="M96:M97"/>
    <mergeCell ref="D107:D108"/>
    <mergeCell ref="E107:E108"/>
    <mergeCell ref="F107:F108"/>
    <mergeCell ref="G107:G108"/>
    <mergeCell ref="H107:H108"/>
    <mergeCell ref="I107:I108"/>
    <mergeCell ref="J107:J108"/>
    <mergeCell ref="J96:J97"/>
    <mergeCell ref="D140:D141"/>
    <mergeCell ref="E140:E141"/>
    <mergeCell ref="F140:F141"/>
    <mergeCell ref="G118:G119"/>
    <mergeCell ref="H118:H119"/>
    <mergeCell ref="I118:I119"/>
    <mergeCell ref="D129:D130"/>
    <mergeCell ref="E129:E130"/>
    <mergeCell ref="F129:F130"/>
    <mergeCell ref="G129:G130"/>
    <mergeCell ref="H129:H130"/>
    <mergeCell ref="I129:I130"/>
    <mergeCell ref="A176:A177"/>
    <mergeCell ref="B176:B177"/>
    <mergeCell ref="C176:C177"/>
    <mergeCell ref="D176:D177"/>
    <mergeCell ref="J152:J153"/>
    <mergeCell ref="D164:D165"/>
    <mergeCell ref="E164:E165"/>
    <mergeCell ref="F164:F165"/>
    <mergeCell ref="G164:G165"/>
    <mergeCell ref="H164:H165"/>
    <mergeCell ref="I164:I165"/>
    <mergeCell ref="J164:J165"/>
    <mergeCell ref="A140:A175"/>
    <mergeCell ref="B140:B175"/>
    <mergeCell ref="C140:C175"/>
    <mergeCell ref="G140:G141"/>
    <mergeCell ref="H140:H141"/>
    <mergeCell ref="I140:I141"/>
    <mergeCell ref="D152:D153"/>
    <mergeCell ref="E152:E153"/>
    <mergeCell ref="F152:F153"/>
    <mergeCell ref="G152:G153"/>
    <mergeCell ref="H152:H153"/>
    <mergeCell ref="I152:I153"/>
  </mergeCells>
  <phoneticPr fontId="1" type="noConversion"/>
  <conditionalFormatting sqref="G177">
    <cfRule type="containsText" dxfId="56" priority="5" operator="containsText" text="Yes">
      <formula>NOT(ISERROR(SEARCH("Yes",G177)))</formula>
    </cfRule>
    <cfRule type="containsText" dxfId="55" priority="6" operator="containsText" text="No">
      <formula>NOT(ISERROR(SEARCH("No",G177)))</formula>
    </cfRule>
  </conditionalFormatting>
  <conditionalFormatting sqref="H4:H6">
    <cfRule type="containsText" dxfId="54" priority="38" operator="containsText" text="Yes">
      <formula>NOT(ISERROR(SEARCH("Yes",H4)))</formula>
    </cfRule>
    <cfRule type="containsText" dxfId="53" priority="39" operator="containsText" text="No">
      <formula>NOT(ISERROR(SEARCH("No",H4)))</formula>
    </cfRule>
  </conditionalFormatting>
  <conditionalFormatting sqref="H10:H18">
    <cfRule type="containsText" dxfId="52" priority="56" operator="containsText" text="Yes">
      <formula>NOT(ISERROR(SEARCH("Yes",H10)))</formula>
    </cfRule>
    <cfRule type="containsText" dxfId="51" priority="57" operator="containsText" text="No">
      <formula>NOT(ISERROR(SEARCH("No",H10)))</formula>
    </cfRule>
  </conditionalFormatting>
  <conditionalFormatting sqref="H54:H62 H65:H73">
    <cfRule type="containsText" dxfId="50" priority="50" operator="containsText" text="Yes">
      <formula>NOT(ISERROR(SEARCH("Yes",H54)))</formula>
    </cfRule>
    <cfRule type="containsText" dxfId="49" priority="51" operator="containsText" text="No">
      <formula>NOT(ISERROR(SEARCH("No",H54)))</formula>
    </cfRule>
  </conditionalFormatting>
  <conditionalFormatting sqref="H76:H84">
    <cfRule type="containsText" dxfId="48" priority="32" operator="containsText" text="Yes">
      <formula>NOT(ISERROR(SEARCH("Yes",H76)))</formula>
    </cfRule>
    <cfRule type="containsText" dxfId="47" priority="33" operator="containsText" text="No">
      <formula>NOT(ISERROR(SEARCH("No",H76)))</formula>
    </cfRule>
  </conditionalFormatting>
  <conditionalFormatting sqref="H120:H128">
    <cfRule type="containsText" dxfId="46" priority="20" operator="containsText" text="Yes">
      <formula>NOT(ISERROR(SEARCH("Yes",H120)))</formula>
    </cfRule>
    <cfRule type="containsText" dxfId="45" priority="21" operator="containsText" text="No">
      <formula>NOT(ISERROR(SEARCH("No",H120)))</formula>
    </cfRule>
  </conditionalFormatting>
  <conditionalFormatting sqref="H131:H139">
    <cfRule type="containsText" dxfId="44" priority="17" operator="containsText" text="Yes">
      <formula>NOT(ISERROR(SEARCH("Yes",H131)))</formula>
    </cfRule>
    <cfRule type="containsText" dxfId="43" priority="18" operator="containsText" text="No">
      <formula>NOT(ISERROR(SEARCH("No",H131)))</formula>
    </cfRule>
  </conditionalFormatting>
  <conditionalFormatting sqref="H142:H151">
    <cfRule type="containsText" dxfId="42" priority="11" operator="containsText" text="Yes">
      <formula>NOT(ISERROR(SEARCH("Yes",H142)))</formula>
    </cfRule>
    <cfRule type="containsText" dxfId="41" priority="12" operator="containsText" text="No">
      <formula>NOT(ISERROR(SEARCH("No",H142)))</formula>
    </cfRule>
  </conditionalFormatting>
  <conditionalFormatting sqref="I21:I29">
    <cfRule type="containsText" dxfId="40" priority="53" operator="containsText" text="Yes">
      <formula>NOT(ISERROR(SEARCH("Yes",I21)))</formula>
    </cfRule>
    <cfRule type="containsText" dxfId="39" priority="54" operator="containsText" text="No">
      <formula>NOT(ISERROR(SEARCH("No",I21)))</formula>
    </cfRule>
  </conditionalFormatting>
  <conditionalFormatting sqref="I33:I40">
    <cfRule type="containsText" dxfId="38" priority="47" operator="containsText" text="Yes">
      <formula>NOT(ISERROR(SEARCH("Yes",I33)))</formula>
    </cfRule>
    <cfRule type="containsText" dxfId="37" priority="48" operator="containsText" text="No">
      <formula>NOT(ISERROR(SEARCH("No",I33)))</formula>
    </cfRule>
  </conditionalFormatting>
  <conditionalFormatting sqref="I44:I51">
    <cfRule type="containsText" dxfId="36" priority="41" operator="containsText" text="Yes">
      <formula>NOT(ISERROR(SEARCH("Yes",I44)))</formula>
    </cfRule>
    <cfRule type="containsText" dxfId="35" priority="42" operator="containsText" text="No">
      <formula>NOT(ISERROR(SEARCH("No",I44)))</formula>
    </cfRule>
  </conditionalFormatting>
  <conditionalFormatting sqref="I87:I95">
    <cfRule type="containsText" dxfId="34" priority="29" operator="containsText" text="Yes">
      <formula>NOT(ISERROR(SEARCH("Yes",I87)))</formula>
    </cfRule>
    <cfRule type="containsText" dxfId="33" priority="30" operator="containsText" text="No">
      <formula>NOT(ISERROR(SEARCH("No",I87)))</formula>
    </cfRule>
  </conditionalFormatting>
  <conditionalFormatting sqref="I99:I106">
    <cfRule type="containsText" dxfId="32" priority="23" operator="containsText" text="Yes">
      <formula>NOT(ISERROR(SEARCH("Yes",I99)))</formula>
    </cfRule>
    <cfRule type="containsText" dxfId="31" priority="24" operator="containsText" text="No">
      <formula>NOT(ISERROR(SEARCH("No",I99)))</formula>
    </cfRule>
  </conditionalFormatting>
  <conditionalFormatting sqref="I109:I117">
    <cfRule type="containsText" dxfId="30" priority="14" operator="containsText" text="Yes">
      <formula>NOT(ISERROR(SEARCH("Yes",I109)))</formula>
    </cfRule>
    <cfRule type="containsText" dxfId="29" priority="15" operator="containsText" text="No">
      <formula>NOT(ISERROR(SEARCH("No",I109)))</formula>
    </cfRule>
  </conditionalFormatting>
  <conditionalFormatting sqref="I154:I163">
    <cfRule type="containsText" dxfId="28" priority="2" operator="containsText" text="Yes">
      <formula>NOT(ISERROR(SEARCH("Yes",I154)))</formula>
    </cfRule>
    <cfRule type="containsText" dxfId="27" priority="3" operator="containsText" text="No">
      <formula>NOT(ISERROR(SEARCH("No",I154)))</formula>
    </cfRule>
  </conditionalFormatting>
  <conditionalFormatting sqref="I166:I175">
    <cfRule type="containsText" dxfId="26" priority="8" operator="containsText" text="Yes">
      <formula>NOT(ISERROR(SEARCH("Yes",I166)))</formula>
    </cfRule>
    <cfRule type="containsText" dxfId="25" priority="9" operator="containsText" text="No">
      <formula>NOT(ISERROR(SEARCH("No",I166)))</formula>
    </cfRule>
  </conditionalFormatting>
  <conditionalFormatting sqref="K7">
    <cfRule type="containsText" dxfId="24" priority="35" operator="containsText" text="Yes">
      <formula>NOT(ISERROR(SEARCH("Yes",K7)))</formula>
    </cfRule>
    <cfRule type="containsText" dxfId="23" priority="36" operator="containsText" text="No">
      <formula>NOT(ISERROR(SEARCH("No",K7)))</formula>
    </cfRule>
  </conditionalFormatting>
  <conditionalFormatting sqref="L32:L40 L43:L51">
    <cfRule type="containsText" dxfId="22" priority="44" operator="containsText" text="Yes">
      <formula>NOT(ISERROR(SEARCH("Yes",L32)))</formula>
    </cfRule>
    <cfRule type="containsText" dxfId="21" priority="45" operator="containsText" text="No">
      <formula>NOT(ISERROR(SEARCH("No",L32)))</formula>
    </cfRule>
  </conditionalFormatting>
  <conditionalFormatting sqref="L98:L106">
    <cfRule type="containsText" dxfId="20" priority="26" operator="containsText" text="Yes">
      <formula>NOT(ISERROR(SEARCH("Yes",L98)))</formula>
    </cfRule>
    <cfRule type="containsText" dxfId="19" priority="27" operator="containsText" text="No">
      <formula>NOT(ISERROR(SEARCH("No",L98)))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4750E6C7-DBC8-4D60-9049-7C00A468A0C9}">
            <xm:f>NOT(ISERROR(SEARCH("-",G177)))</xm:f>
            <xm:f>"-"</xm:f>
            <x14:dxf>
              <fill>
                <patternFill>
                  <bgColor theme="2"/>
                </patternFill>
              </fill>
            </x14:dxf>
          </x14:cfRule>
          <xm:sqref>G177</xm:sqref>
        </x14:conditionalFormatting>
        <x14:conditionalFormatting xmlns:xm="http://schemas.microsoft.com/office/excel/2006/main">
          <x14:cfRule type="containsText" priority="37" operator="containsText" id="{6E207E31-1A5B-4145-99E8-B0F06C261FCC}">
            <xm:f>NOT(ISERROR(SEARCH("-",H4)))</xm:f>
            <xm:f>"-"</xm:f>
            <x14:dxf>
              <fill>
                <patternFill>
                  <bgColor theme="2"/>
                </patternFill>
              </fill>
            </x14:dxf>
          </x14:cfRule>
          <xm:sqref>H4:H6</xm:sqref>
        </x14:conditionalFormatting>
        <x14:conditionalFormatting xmlns:xm="http://schemas.microsoft.com/office/excel/2006/main">
          <x14:cfRule type="containsText" priority="55" operator="containsText" id="{17BC5FC2-70EE-4611-8236-97E07F495AD2}">
            <xm:f>NOT(ISERROR(SEARCH("-",H10)))</xm:f>
            <xm:f>"-"</xm:f>
            <x14:dxf>
              <fill>
                <patternFill>
                  <bgColor theme="2"/>
                </patternFill>
              </fill>
            </x14:dxf>
          </x14:cfRule>
          <xm:sqref>H10:H18</xm:sqref>
        </x14:conditionalFormatting>
        <x14:conditionalFormatting xmlns:xm="http://schemas.microsoft.com/office/excel/2006/main">
          <x14:cfRule type="containsText" priority="49" operator="containsText" id="{1690371F-BE7C-4E89-8D83-79E4B818D2BA}">
            <xm:f>NOT(ISERROR(SEARCH("-",H54)))</xm:f>
            <xm:f>"-"</xm:f>
            <x14:dxf>
              <fill>
                <patternFill>
                  <bgColor theme="2"/>
                </patternFill>
              </fill>
            </x14:dxf>
          </x14:cfRule>
          <xm:sqref>H54:H62 H65:H73</xm:sqref>
        </x14:conditionalFormatting>
        <x14:conditionalFormatting xmlns:xm="http://schemas.microsoft.com/office/excel/2006/main">
          <x14:cfRule type="containsText" priority="31" operator="containsText" id="{25B0CB15-EB56-4395-9A4F-CF64A834A06F}">
            <xm:f>NOT(ISERROR(SEARCH("-",H76)))</xm:f>
            <xm:f>"-"</xm:f>
            <x14:dxf>
              <fill>
                <patternFill>
                  <bgColor theme="2"/>
                </patternFill>
              </fill>
            </x14:dxf>
          </x14:cfRule>
          <xm:sqref>H76:H84</xm:sqref>
        </x14:conditionalFormatting>
        <x14:conditionalFormatting xmlns:xm="http://schemas.microsoft.com/office/excel/2006/main">
          <x14:cfRule type="containsText" priority="19" operator="containsText" id="{38F51DA7-F296-4961-8F23-5BBBEC28DAC8}">
            <xm:f>NOT(ISERROR(SEARCH("-",H120)))</xm:f>
            <xm:f>"-"</xm:f>
            <x14:dxf>
              <fill>
                <patternFill>
                  <bgColor theme="2"/>
                </patternFill>
              </fill>
            </x14:dxf>
          </x14:cfRule>
          <xm:sqref>H120:H128</xm:sqref>
        </x14:conditionalFormatting>
        <x14:conditionalFormatting xmlns:xm="http://schemas.microsoft.com/office/excel/2006/main">
          <x14:cfRule type="containsText" priority="16" operator="containsText" id="{4BDD6A6C-8E03-4721-A9C7-F89EC23D1D6F}">
            <xm:f>NOT(ISERROR(SEARCH("-",H131)))</xm:f>
            <xm:f>"-"</xm:f>
            <x14:dxf>
              <fill>
                <patternFill>
                  <bgColor theme="2"/>
                </patternFill>
              </fill>
            </x14:dxf>
          </x14:cfRule>
          <xm:sqref>H131:H139</xm:sqref>
        </x14:conditionalFormatting>
        <x14:conditionalFormatting xmlns:xm="http://schemas.microsoft.com/office/excel/2006/main">
          <x14:cfRule type="containsText" priority="10" operator="containsText" id="{E73D548E-9DDF-4562-9C43-C88D493838B4}">
            <xm:f>NOT(ISERROR(SEARCH("-",H142)))</xm:f>
            <xm:f>"-"</xm:f>
            <x14:dxf>
              <fill>
                <patternFill>
                  <bgColor theme="2"/>
                </patternFill>
              </fill>
            </x14:dxf>
          </x14:cfRule>
          <xm:sqref>H142:H151</xm:sqref>
        </x14:conditionalFormatting>
        <x14:conditionalFormatting xmlns:xm="http://schemas.microsoft.com/office/excel/2006/main">
          <x14:cfRule type="containsText" priority="52" operator="containsText" id="{F7A497C5-9BC9-461B-B557-26FD6DCC4284}">
            <xm:f>NOT(ISERROR(SEARCH("-",I21)))</xm:f>
            <xm:f>"-"</xm:f>
            <x14:dxf>
              <fill>
                <patternFill>
                  <bgColor theme="2"/>
                </patternFill>
              </fill>
            </x14:dxf>
          </x14:cfRule>
          <xm:sqref>I21:I29</xm:sqref>
        </x14:conditionalFormatting>
        <x14:conditionalFormatting xmlns:xm="http://schemas.microsoft.com/office/excel/2006/main">
          <x14:cfRule type="containsText" priority="46" operator="containsText" id="{C11774EF-A914-492D-AB1F-CDDEAEE7E029}">
            <xm:f>NOT(ISERROR(SEARCH("-",I33)))</xm:f>
            <xm:f>"-"</xm:f>
            <x14:dxf>
              <fill>
                <patternFill>
                  <bgColor theme="2"/>
                </patternFill>
              </fill>
            </x14:dxf>
          </x14:cfRule>
          <xm:sqref>I33:I40</xm:sqref>
        </x14:conditionalFormatting>
        <x14:conditionalFormatting xmlns:xm="http://schemas.microsoft.com/office/excel/2006/main">
          <x14:cfRule type="containsText" priority="40" operator="containsText" id="{38E15F36-A15E-427F-AC67-AFF6EB6A01A3}">
            <xm:f>NOT(ISERROR(SEARCH("-",I44)))</xm:f>
            <xm:f>"-"</xm:f>
            <x14:dxf>
              <fill>
                <patternFill>
                  <bgColor theme="2"/>
                </patternFill>
              </fill>
            </x14:dxf>
          </x14:cfRule>
          <xm:sqref>I44:I51</xm:sqref>
        </x14:conditionalFormatting>
        <x14:conditionalFormatting xmlns:xm="http://schemas.microsoft.com/office/excel/2006/main">
          <x14:cfRule type="containsText" priority="28" operator="containsText" id="{90683A06-620F-4054-8652-1AF81173F11B}">
            <xm:f>NOT(ISERROR(SEARCH("-",I87)))</xm:f>
            <xm:f>"-"</xm:f>
            <x14:dxf>
              <fill>
                <patternFill>
                  <bgColor theme="2"/>
                </patternFill>
              </fill>
            </x14:dxf>
          </x14:cfRule>
          <xm:sqref>I87:I95</xm:sqref>
        </x14:conditionalFormatting>
        <x14:conditionalFormatting xmlns:xm="http://schemas.microsoft.com/office/excel/2006/main">
          <x14:cfRule type="containsText" priority="22" operator="containsText" id="{22508749-C943-4DCF-B51A-EB155E9049DC}">
            <xm:f>NOT(ISERROR(SEARCH("-",I99)))</xm:f>
            <xm:f>"-"</xm:f>
            <x14:dxf>
              <fill>
                <patternFill>
                  <bgColor theme="2"/>
                </patternFill>
              </fill>
            </x14:dxf>
          </x14:cfRule>
          <xm:sqref>I99:I106</xm:sqref>
        </x14:conditionalFormatting>
        <x14:conditionalFormatting xmlns:xm="http://schemas.microsoft.com/office/excel/2006/main">
          <x14:cfRule type="containsText" priority="13" operator="containsText" id="{BDF08E71-4F62-4F64-B829-AF77D4C52D21}">
            <xm:f>NOT(ISERROR(SEARCH("-",I109)))</xm:f>
            <xm:f>"-"</xm:f>
            <x14:dxf>
              <fill>
                <patternFill>
                  <bgColor theme="2"/>
                </patternFill>
              </fill>
            </x14:dxf>
          </x14:cfRule>
          <xm:sqref>I109:I117</xm:sqref>
        </x14:conditionalFormatting>
        <x14:conditionalFormatting xmlns:xm="http://schemas.microsoft.com/office/excel/2006/main">
          <x14:cfRule type="containsText" priority="1" operator="containsText" id="{38AB40BC-3390-4C68-A08F-65D97DCC260E}">
            <xm:f>NOT(ISERROR(SEARCH("-",I154)))</xm:f>
            <xm:f>"-"</xm:f>
            <x14:dxf>
              <fill>
                <patternFill>
                  <bgColor theme="2"/>
                </patternFill>
              </fill>
            </x14:dxf>
          </x14:cfRule>
          <xm:sqref>I154:I163</xm:sqref>
        </x14:conditionalFormatting>
        <x14:conditionalFormatting xmlns:xm="http://schemas.microsoft.com/office/excel/2006/main">
          <x14:cfRule type="containsText" priority="7" operator="containsText" id="{32909C68-C5E5-44E4-B8F1-6746B225A4D2}">
            <xm:f>NOT(ISERROR(SEARCH("-",I166)))</xm:f>
            <xm:f>"-"</xm:f>
            <x14:dxf>
              <fill>
                <patternFill>
                  <bgColor theme="2"/>
                </patternFill>
              </fill>
            </x14:dxf>
          </x14:cfRule>
          <xm:sqref>I166:I175</xm:sqref>
        </x14:conditionalFormatting>
        <x14:conditionalFormatting xmlns:xm="http://schemas.microsoft.com/office/excel/2006/main">
          <x14:cfRule type="containsText" priority="34" operator="containsText" id="{CA1F4D03-BEA1-4519-A363-4FA295DC1ADF}">
            <xm:f>NOT(ISERROR(SEARCH("-",K7)))</xm:f>
            <xm:f>"-"</xm:f>
            <x14:dxf>
              <fill>
                <patternFill>
                  <bgColor theme="2"/>
                </patternFill>
              </fill>
            </x14:dxf>
          </x14:cfRule>
          <xm:sqref>K7</xm:sqref>
        </x14:conditionalFormatting>
        <x14:conditionalFormatting xmlns:xm="http://schemas.microsoft.com/office/excel/2006/main">
          <x14:cfRule type="containsText" priority="43" operator="containsText" id="{E6984E33-FA31-495F-8419-59C2EB2BDE9A}">
            <xm:f>NOT(ISERROR(SEARCH("-",L32)))</xm:f>
            <xm:f>"-"</xm:f>
            <x14:dxf>
              <fill>
                <patternFill>
                  <bgColor theme="2"/>
                </patternFill>
              </fill>
            </x14:dxf>
          </x14:cfRule>
          <xm:sqref>L32:L40 L43:L51</xm:sqref>
        </x14:conditionalFormatting>
        <x14:conditionalFormatting xmlns:xm="http://schemas.microsoft.com/office/excel/2006/main">
          <x14:cfRule type="containsText" priority="25" operator="containsText" id="{890BEAD6-5FFB-4042-9B6B-E17F249E8114}">
            <xm:f>NOT(ISERROR(SEARCH("-",L98)))</xm:f>
            <xm:f>"-"</xm:f>
            <x14:dxf>
              <fill>
                <patternFill>
                  <bgColor theme="2"/>
                </patternFill>
              </fill>
            </x14:dxf>
          </x14:cfRule>
          <xm:sqref>L98:L106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4"/>
  <sheetViews>
    <sheetView zoomScale="85" zoomScaleNormal="85" workbookViewId="0"/>
  </sheetViews>
  <sheetFormatPr defaultRowHeight="17" x14ac:dyDescent="0.4"/>
  <cols>
    <col min="2" max="2" width="23.90625" bestFit="1" customWidth="1"/>
    <col min="12" max="12" width="19.26953125" bestFit="1" customWidth="1"/>
  </cols>
  <sheetData>
    <row r="4" spans="2:12" x14ac:dyDescent="0.4">
      <c r="B4" s="10" t="s">
        <v>98</v>
      </c>
      <c r="L4" s="10" t="s">
        <v>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電機廠報告與驗收規範</vt:lpstr>
      <vt:lpstr>馬達溫升實驗表格</vt:lpstr>
      <vt:lpstr>新代驅動器參數</vt:lpstr>
      <vt:lpstr>馬達特性曲線</vt:lpstr>
      <vt:lpstr>自動審查</vt:lpstr>
      <vt:lpstr>相關表格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黃揚程</dc:creator>
  <cp:lastModifiedBy>楊博強</cp:lastModifiedBy>
  <dcterms:created xsi:type="dcterms:W3CDTF">2019-07-20T09:14:21Z</dcterms:created>
  <dcterms:modified xsi:type="dcterms:W3CDTF">2026-09-10T08:53:21Z</dcterms:modified>
</cp:coreProperties>
</file>